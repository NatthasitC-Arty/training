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Enconfound\Final\"/>
    </mc:Choice>
  </mc:AlternateContent>
  <xr:revisionPtr revIDLastSave="0" documentId="13_ncr:1_{41F3DA1F-6145-42F1-A2A4-99470FEDC9B3}" xr6:coauthVersionLast="47" xr6:coauthVersionMax="47" xr10:uidLastSave="{00000000-0000-0000-0000-000000000000}"/>
  <bookViews>
    <workbookView xWindow="-108" yWindow="-108" windowWidth="30936" windowHeight="16776" xr2:uid="{390C8BEB-D719-4DD7-8D5C-41C786A77D47}"/>
  </bookViews>
  <sheets>
    <sheet name="Budget Setup 69แก้แล้ว" sheetId="5" r:id="rId1"/>
    <sheet name="Sheet2" sheetId="4" r:id="rId2"/>
    <sheet name="budget setup 68" sheetId="6" r:id="rId3"/>
    <sheet name="Sheet1" sheetId="7" r:id="rId4"/>
    <sheet name="Budget Setup" sheetId="2" r:id="rId5"/>
  </sheets>
  <definedNames>
    <definedName name="_xlnm._FilterDatabase" localSheetId="0" hidden="1">'Budget Setup 69แก้แล้ว'!$D$1:$D$131</definedName>
    <definedName name="_xlnm._FilterDatabase" localSheetId="1" hidden="1">Sheet2!$A$1:$T$125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7" l="1"/>
  <c r="F58" i="6"/>
  <c r="F37" i="6"/>
  <c r="F4" i="6"/>
  <c r="F55" i="6"/>
  <c r="F36" i="6"/>
  <c r="F31" i="6"/>
  <c r="F29" i="6"/>
  <c r="F23" i="6"/>
  <c r="F3" i="6"/>
  <c r="F2" i="6" s="1"/>
  <c r="F90" i="5"/>
  <c r="F47" i="5"/>
  <c r="F119" i="5"/>
  <c r="F118" i="5" s="1"/>
  <c r="F115" i="5"/>
  <c r="F110" i="5"/>
  <c r="F106" i="5"/>
  <c r="F101" i="5"/>
  <c r="F97" i="5" s="1"/>
  <c r="F73" i="5"/>
  <c r="F72" i="5" s="1"/>
  <c r="F60" i="5"/>
  <c r="F50" i="5"/>
  <c r="F43" i="5"/>
  <c r="F33" i="5"/>
  <c r="F24" i="5"/>
  <c r="F16" i="5"/>
  <c r="F8" i="5"/>
  <c r="F6" i="5" s="1"/>
  <c r="F2" i="5"/>
  <c r="F128" i="2"/>
  <c r="F116" i="2"/>
  <c r="F115" i="2" s="1"/>
  <c r="F112" i="2"/>
  <c r="F107" i="2"/>
  <c r="F103" i="2"/>
  <c r="F102" i="2" s="1"/>
  <c r="F98" i="2"/>
  <c r="F94" i="2" s="1"/>
  <c r="F72" i="2"/>
  <c r="F71" i="2" s="1"/>
  <c r="F59" i="2"/>
  <c r="F15" i="2" s="1"/>
  <c r="F49" i="2"/>
  <c r="F44" i="2"/>
  <c r="F33" i="2"/>
  <c r="F24" i="2"/>
  <c r="F16" i="2"/>
  <c r="F8" i="2"/>
  <c r="F6" i="2"/>
  <c r="F2" i="2"/>
  <c r="F105" i="5" l="1"/>
  <c r="F15" i="5"/>
  <c r="F5" i="5" s="1"/>
  <c r="F5" i="2"/>
  <c r="F4" i="2" s="1"/>
  <c r="F4" i="5" l="1"/>
  <c r="F131" i="5" s="1"/>
</calcChain>
</file>

<file path=xl/sharedStrings.xml><?xml version="1.0" encoding="utf-8"?>
<sst xmlns="http://schemas.openxmlformats.org/spreadsheetml/2006/main" count="1070" uniqueCount="194">
  <si>
    <t>ค่าตอบแทน</t>
  </si>
  <si>
    <t>ค่าตอบแทนการปฏิบัติงานนอกเวลาราชการ</t>
  </si>
  <si>
    <t>ค่าเบี้ยประชุม</t>
  </si>
  <si>
    <t>คณะอนุกรรมการกำกับสำนักงานบริหารกองทุนเพื่อส่งเสริมการอนุรักษ์พลังงาน (กบท.)</t>
  </si>
  <si>
    <t>คณะกรรมการกองทุนเพื่อส่งเสริมการอนุรักษ์พลังงาน (กนผ.)</t>
  </si>
  <si>
    <t>คณะอนุกรรมการบริหารความเสี่ยง ติดตาม และประเมินผล (กปม.)</t>
  </si>
  <si>
    <t xml:space="preserve">คณะอนุกรรมการตรวจสอบภายใน </t>
  </si>
  <si>
    <t>ค่าใช้สอย</t>
  </si>
  <si>
    <t>ค่าใช้จ่ายในการเดินทางไปราชการในประเทศ</t>
  </si>
  <si>
    <t>กลุ่มงานนโยบายและแผนกองทุน</t>
  </si>
  <si>
    <t>กลุ่มงานจัดการเงินกองทุน</t>
  </si>
  <si>
    <t>กลุ่มงานวิเคราะห์โครงการ</t>
  </si>
  <si>
    <t xml:space="preserve">กลุ่มงานประเมินผลและรายงาน </t>
  </si>
  <si>
    <t>กลุ่มงานตรวจสอบภายใน</t>
  </si>
  <si>
    <t xml:space="preserve">ผู้บริหาร ส.กทอ. </t>
  </si>
  <si>
    <t>งบดำเนินงาน</t>
  </si>
  <si>
    <t>Title</t>
  </si>
  <si>
    <t>ค่าตอบแทน ใช้สอยและวัสดุ</t>
  </si>
  <si>
    <t>Active</t>
  </si>
  <si>
    <t>ค่าใช้จ่ายในการประชุม</t>
  </si>
  <si>
    <t>ประชุมคณะอนุกรรมการกำกับสำนักงานบริหารกองทุนเพื่อส่งเสริมการอนุรักษ์พลังงาน (กบท.)</t>
  </si>
  <si>
    <t>ประชุมต่างๆ หรือประชุมหารือระหว่างหน่วยงาน (กบท.)</t>
  </si>
  <si>
    <t>ประชุมคณะกรรมการกองทุนเพื่อส่งเสริมการอนุรักษ์พลังงาน (กนผ.)</t>
  </si>
  <si>
    <t>ประชุมคณะอนุกรรมการบริหารกองทุนเพื่อส่งเสริมการอนุรักษ์พลังงาน (กวค.)</t>
  </si>
  <si>
    <t>ประชุมคณะอนุกรรมการบริหารความเสี่ยง ติดตาม และประเมินผล (กปม.)</t>
  </si>
  <si>
    <t>ประชุมคณะอนุกรรมการตรวจสอบ</t>
  </si>
  <si>
    <t>ค่าใช้จ่ายในการดำเนินการสัมมนาและฝึกอบรม</t>
  </si>
  <si>
    <t>ค่าจ้างเหมาบริการ</t>
  </si>
  <si>
    <t>ค่าซ่อมแซมและบำรุงรักษาครุภัณฑ์ยานพาหนะและขนส่ง</t>
  </si>
  <si>
    <t>ค่าซ่อมแซมและบำรุงรักษาครุภัณฑ์โฆษณาและเผยแพร่บำรุงรักษาเครื่องเสียงระบบไฟฟ้า ระบบโสตทัศนูปกรณ์</t>
  </si>
  <si>
    <t>งบบุคลากร</t>
  </si>
  <si>
    <t>ค่าใช้จ่ายบุคลากร</t>
  </si>
  <si>
    <t>คณะกรรมการที่ได้รับการแต่งตั้งตามระเบียบกระทรวงการคลังว่าด้วยการจัดซื้อจัดจ้าง และการบริหารพัสดุภาครัฐ พ.ศ. 2560</t>
  </si>
  <si>
    <t>โครงการการสร้าง ส.กทอ. เป็นองค์กรแห่งความสุขด้วย Happy 8</t>
  </si>
  <si>
    <t>การฝึกอบรมด้านบัญชีภาครัฐ ด้านการรับ - จ่ายเงินภาครัฐ (กกง.)</t>
  </si>
  <si>
    <t>การส่งบุคลากรเข้าร่วมฝึกอบรมสัมมนา (กวค.)</t>
  </si>
  <si>
    <t>การสัมมนา ฝึกอบรม หรือเข้าร่วมฝึกอบรม (กปม.)</t>
  </si>
  <si>
    <t>การฝึกอบรมด้านประเมินความเสี่ยงหรือตรวจสอบภายใน (ตสน.)</t>
  </si>
  <si>
    <t>ค่าจ้างบุคคลภายนอกเพื่อปฏิบัติงาน ส.กทอ.</t>
  </si>
  <si>
    <t>ค่าจ้าง</t>
  </si>
  <si>
    <t>ค่าจ้างบุคคลภายนอกปฏิบัติงาน ณ สำนักงานพลังงานจังหวัด</t>
  </si>
  <si>
    <t>ค่าจ้างเหมาบริการผู้เชี่ยวชาญ</t>
  </si>
  <si>
    <t>ผู้เชี่ยวชาญด้านการบริหารการใช้จ่ายเงินกองทุน</t>
  </si>
  <si>
    <t xml:space="preserve">ผู้เชี่ยวชาญด้านพัสดุ </t>
  </si>
  <si>
    <t>ผู้เชี่ยวชาญด้านนโยบายและแผน</t>
  </si>
  <si>
    <t>ผู้เชี่ยวชาญด้านบัญชี</t>
  </si>
  <si>
    <t>ผู้เชี่ยวชาญด้านกฎหมาย</t>
  </si>
  <si>
    <t>ผู้เชี่ยวชาญด้านตรวจสอบภายใน</t>
  </si>
  <si>
    <t>ผู้เชี่ยวชาญด้านงานบริหารกองทุนสนับสนุน ผอ. สนพ. 2 อัตรา</t>
  </si>
  <si>
    <t>ค่าใช้จ่ายในการเดินทางไปราชการในการติดตามโครงการ</t>
  </si>
  <si>
    <t>ค่าจ้างเหมาบริการพนักงานทำความสะอาด</t>
  </si>
  <si>
    <t>ค่าจ้างเหมาพนักงานขับรถยนต์</t>
  </si>
  <si>
    <t>ค่าจ้างเหมาบริการสถานที่จัดเก็บรักษาเอกสาร</t>
  </si>
  <si>
    <t>ค่าจ้างเหมาบริการสำรวจความพึงพอใจของผู้รับบริการกองทุนฯ</t>
  </si>
  <si>
    <t>ค่าจ้างเหมารถไม่ประจำทาง สำหรับลงพื้นที่ประเมินผลโครงการ</t>
  </si>
  <si>
    <t>ค่าซ่อมแซมและบำรุงรักษาครุภัณฑ์สำนักงาน</t>
  </si>
  <si>
    <t>ค่าเช่าอาคารที่ทำการสำนักงานบริหารกองทุนเพื่อส่งเสริมการอนุรักษ์พลังงาน</t>
  </si>
  <si>
    <t>อาคารสำนักงานทรัพย์สินส่วนพระมหากษัตริย์</t>
  </si>
  <si>
    <t>ค่าเช่าอาคาร</t>
  </si>
  <si>
    <t>ค่าเบี้ยประกันอัคคีภัย</t>
  </si>
  <si>
    <t>อาคารชินวัตร 3</t>
  </si>
  <si>
    <t xml:space="preserve">ค่าบริการเช่าที่จอดรถยนต์ </t>
  </si>
  <si>
    <t>ค่าบริการพลังงานความเย็นสำหรับห้อง Server</t>
  </si>
  <si>
    <t>ค่าบำรุงรักษาระบบปรับอากาศ ห้อง Server</t>
  </si>
  <si>
    <t>ค่าบริการระบบปรับอากาศนอกเวลาปกติ</t>
  </si>
  <si>
    <t>ค่าเช่ารถตู้ส่วนกลาง</t>
  </si>
  <si>
    <t>ค่าบริการจัดเก็บขยะมูลฝอย</t>
  </si>
  <si>
    <t>ค่าบริการกำจัดปลวก มด หนู และแมลง</t>
  </si>
  <si>
    <t>เงินสมทบกองทุนประกันสังคม</t>
  </si>
  <si>
    <t>เงินสมทบกองทุนเงินทดแทน</t>
  </si>
  <si>
    <t>ค่าธรรมเนียมการปฏิบัติงานสอบบัญชี</t>
  </si>
  <si>
    <t>ค่าประกันภัยรถยนต์ภาคบังคับ (พ.ร.บ.)</t>
  </si>
  <si>
    <t>ค่าวัสดุ</t>
  </si>
  <si>
    <t>ค่าวัสดุสำนักงาน</t>
  </si>
  <si>
    <t>ค่าวัสดุเชื้อเพลิงและหล่อลื่น</t>
  </si>
  <si>
    <t>ค่าวัสดุไฟฟ้า</t>
  </si>
  <si>
    <t>ค่าวัสดุคอมพิวเตอร์</t>
  </si>
  <si>
    <t>ค่าวัสดุอื่นๆ ที่เกี่ยวข้องกับการปฏิบัติงาน/ภารกิจ ของสำนักงานฯ</t>
  </si>
  <si>
    <t>ค่าสาธารณูปโภค</t>
  </si>
  <si>
    <t>ค่าไฟฟ้า</t>
  </si>
  <si>
    <t>ค่าน้ำประปา</t>
  </si>
  <si>
    <t>ค่าโทรศัพท์</t>
  </si>
  <si>
    <t>ค่าเช่าบริการอินเตอร์เน็ต</t>
  </si>
  <si>
    <t>ค่าไปรษณียภัณฑ์</t>
  </si>
  <si>
    <t>ค่าใช้จ่ายอื่นๆ</t>
  </si>
  <si>
    <t>งบลงทุน</t>
  </si>
  <si>
    <t>ค่าครุภัณฑ์</t>
  </si>
  <si>
    <t>Budget Code</t>
  </si>
  <si>
    <t>Father Code</t>
  </si>
  <si>
    <t>Level</t>
  </si>
  <si>
    <t>Type</t>
  </si>
  <si>
    <t>Budget Amount</t>
  </si>
  <si>
    <t>คณะอนุกรรมการบริหารกองทุนเพื่อส่งเสริมการอนุรักษ์พลังงาน (กวค.)</t>
  </si>
  <si>
    <t>LineId</t>
  </si>
  <si>
    <t>Name</t>
  </si>
  <si>
    <t>Method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</si>
  <si>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</si>
  <si>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</si>
  <si>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</si>
  <si>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</si>
  <si>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</si>
  <si>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</si>
  <si>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</si>
  <si>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</si>
  <si>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</si>
  <si>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</si>
  <si>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</si>
  <si>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</si>
  <si>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Adobe Creative Cloud All App</t>
  </si>
  <si>
    <t>Manual</t>
  </si>
  <si>
    <t>ค่าบริการโทรศัพท์เคลื่อนที่รายเดือน</t>
  </si>
  <si>
    <t>ประชุมคณะทำงานกลั่นกรองข้อเสนอโครงการที่ขอรับการสนับสนุนเงินกองทุนฯ</t>
  </si>
  <si>
    <t xml:space="preserve">การประชุมคณะทำงานร่างกฎหมายลำดับรองเพื่อรองรับการจัดตั้ง ส.กทอ. เป็นนิติบุคคล </t>
  </si>
  <si>
    <t>ค่าใช้จ่ายในการฝึกอบรมหรือค่าลงทะเบียนเข้าร่วมการฝึกอบรม (ผู้บริหาร/พนักงานกบท.)</t>
  </si>
  <si>
    <t xml:space="preserve"> โครงการพัฒนาศักยภาพบุคลกร ส.กทอ. ให้มีศักยภาพที่พร้อมต่อการทำงานในองค์กรที่มีสมรรถนะสูง</t>
  </si>
  <si>
    <t>การฝึกอบรมเกี่ยวกับด้านวางแผนนโยบาย ยุทธศาสตร์ บริหารความเสี่ยงฯ</t>
  </si>
  <si>
    <t>ค่าใช้จ่ายในการสัมมนา ฝึกอบรม หรือค่าลงทะเบียนเข้าร่วมฝึกอบรม (กกม.)</t>
  </si>
  <si>
    <t>จ้างเหมาบริการติดตั้งเครื่องปรับอากาศติดผนัง ชนิดคอยล์น้ำเย็น สำหรับห้อง Server</t>
  </si>
  <si>
    <t>ค่าจ้างเหมาบริการประดับตกแต่งสถานที่</t>
  </si>
  <si>
    <t>ค่าจ้างพิมพ์รายงานผู้สอบบัญชีและรายงานการเงินของกองทุนฯ</t>
  </si>
  <si>
    <t xml:space="preserve">ค่าบำรุงรักษาห้องศูนย์ข้อมูล และอุปกรณ์ระบบเครือข่าย </t>
  </si>
  <si>
    <t>ค่าขนย้ายครุภัณฑ์สำนักงานและอุปกรณ์คอมพิวเตอร์</t>
  </si>
  <si>
    <t xml:space="preserve">ค่าคืนพื้นที่อาคารชินวัตรทาวเวอร์ 3 ชั้น 10 (ฝั่ง Podium) </t>
  </si>
  <si>
    <t>ค่าบริการย้ายระบบโทรศัพท์ดิจิตอล</t>
  </si>
  <si>
    <t>ค่าบริการย้ายวงจรอินเตอร์เน็ตสำนักงาน</t>
  </si>
  <si>
    <t>ค่าเช่าเครื่องถ่ายเอกสาร</t>
  </si>
  <si>
    <t>จัดซื้อซอฟต์แวร์ลิขสิทธิ์ที่ใช้ในการปฏิบัติงาน</t>
  </si>
  <si>
    <t>ค่าบริการโทรศัพท์ภายในพื้นที่สำนักงานฯ</t>
  </si>
  <si>
    <t>โครงการพัฒนาความยั่งยืนด้านสิ่งแวดล้อม สังคม และการกำกับดูแล (Environmental, Social and Governance : ESG) ของกองทุนเพื่อส่งเสริมการอนุรักษ์พลังงาน</t>
  </si>
  <si>
    <t>โครงการที่ปรึกษาสนับสนุนการบริหารจัดการงานวิจัยและงานสาธิตริเริ่ม ตามมาตรา 25(3) ข และ ค ปีงบประมาณ พ.ศ. 2569</t>
  </si>
  <si>
    <t>โครงการพัฒนาระบบให้คำปรึกษาอัตโนมัติด้วยเทคโนโลยีปัญญาประดิษฐ์ (AI Chatbot) 
เพื่อสนับสนุนการปฏิบัติตามระเบียบกองทุนเพื่อส่งเสริมการอนุรักษ์พลังงาน ปีงบประมาณ พ.ศ. 2569</t>
  </si>
  <si>
    <t xml:space="preserve"> ตู้เซฟนิรภัย</t>
  </si>
  <si>
    <t xml:space="preserve">โครงการจัดหาระบบสำรองและกู้คืนข้อมูล </t>
  </si>
  <si>
    <t>โครงการเพิ่มประสิทธิภาพระบบรักษาความปลอดภัยและความมั่นคงปลอดภัย
ทางไซเบอร์</t>
  </si>
  <si>
    <t>โครงการจัดซื้ออุปกรณ์ระบบเครือข่ายเพื่อทดแทนอุปกรณ์เดิมและเพิ่มประสิทธิภาพการให้บริการและความต่อเนื่องของระบบ</t>
  </si>
  <si>
    <t xml:space="preserve">เครื่องปรับอากาศติดผนัง ชนิดคอยล์น้ำเย็นสำหรับห้อง  Server </t>
  </si>
  <si>
    <t>เครื่องทำลายเอกสารแบบตัดตรง</t>
  </si>
  <si>
    <t xml:space="preserve"> โต๊ะประชุม แบบพับได้</t>
  </si>
  <si>
    <t>งบบุค</t>
  </si>
  <si>
    <t>งบดำเนิน</t>
  </si>
  <si>
    <t>งบลง</t>
  </si>
  <si>
    <t>ตอบแทนใช้สอยวัสดุ</t>
  </si>
  <si>
    <t xml:space="preserve">ตอบแทน </t>
  </si>
  <si>
    <t>ใช้สอย</t>
  </si>
  <si>
    <t>วัสดุ</t>
  </si>
  <si>
    <t>สาธารณู</t>
  </si>
  <si>
    <t>ค่าใช้จ่ายอื่น</t>
  </si>
  <si>
    <t>เลเวล</t>
  </si>
  <si>
    <t>ค่าใช้จ่ายในการดำเนินงาน</t>
  </si>
  <si>
    <t>ขนย้ายครุภัณฑ์สำนักงานและเอกสารสำคัญในการปฏิบัติงาน</t>
  </si>
  <si>
    <t>ขนย้ายอุปกรณ์คอมพิวเตอร์และอุปกรณ์อิเล็กทรอนิกส์</t>
  </si>
  <si>
    <t>ค่าตอบแทนใช้สอยและวัสดุ</t>
  </si>
  <si>
    <t>ค่าจ้างบุคคลภายนอกเพื่อปฏิบัติงาน</t>
  </si>
  <si>
    <t>ค่าบริการกำจัดปลวกและแมลง</t>
  </si>
  <si>
    <t>ค่าบำรุงรักษาระบบบริหารจัดการเงินกองทุนเพื่อส่งเสริมการอนุรักษ์พลังงาน (ACC)</t>
  </si>
  <si>
    <t>ค่าบำรุงรักษาและปรับปรุงระบบขอรับการสนับสนุนเงินกองทุนเพื่อส่งเสริมการอนุรักษ์พลังงาน (epm)</t>
  </si>
  <si>
    <t>ค่าบำรุงรักษาห้องศูนย์ข้อมูล และอุปกรณ์ระบบเครือข่าย</t>
  </si>
  <si>
    <t>ค่าบำรุงรักษา www.enconfund.go.th</t>
  </si>
  <si>
    <t>โครงการผลิตสื่อสร้างการรับรู้บทบาทกองทุนเพื่อส่งเสริมการอนุรักษ์พลังงาน ปีงบประมาณ 2568</t>
  </si>
  <si>
    <t>โครงการพัฒนาอัตลักษณ์องค์กร ช่องทางสื่อสาร และพัฒนาบุคลากรด้านประชาสัมพันธ์</t>
  </si>
  <si>
    <t>โครงการเสริมสร้างการมีส่วนร่วมของกลุ่มเป้าหมาย และการสร้างพันธมิตร เพื่อร่วมดำเนินการอนุรักษ์พลังงานและพัฒนาพลังงานทดแทน</t>
  </si>
  <si>
    <t>โครงการจัดทำ e-Learning สำหรับการจัดทำรายงานการรับ - จ่ายเงินกองทุน</t>
  </si>
  <si>
    <t>ชุดโปรแกรมระบบปฏิบัติการสำหรับเครื่องคอมพิวเตอร์และเครื่องคอมพิวเตอร์โน้ตบุ๊ก</t>
  </si>
  <si>
    <t>ชุดโปรแกรมจัดการสำนักงาน แบบที่ 3 ที่มีลิขสิทธิ์ถูกต้องตามกฎหมาย</t>
  </si>
  <si>
    <t xml:space="preserve">โปรแกรมสำหรับสร้างและแก้ไขเอกสาร (Adobe Acrobat Pro) ที่มีลิขสิทธิ์ถูกต้อง </t>
  </si>
  <si>
    <t>ชุดโปรแกรมป้องกันไวรัส</t>
  </si>
  <si>
    <t xml:space="preserve">ซอฟท์แวร์ Power BI Pro ที่มีลิขสิทธิ์ถูกต้องตามกฎหมาย จำนวน 20 ลิขสิทธิ์  </t>
  </si>
  <si>
    <t>ค่าอินเตอร์เน็ตความเร็วสูง</t>
  </si>
  <si>
    <t>โครงการจ้างที่ปรึกษาประเมินผลสัมฤทธิ์ของโครงการจากการรับการสนับสนุนเงินกองทุนเพื่อส่งเสริมการอนุรักษ์พลังงาน</t>
  </si>
  <si>
    <t>โครงการจ้างที่ปรึกษาเพื่อเตรียมความพร้อมการบริหารงานด้านต่างๆ ในการยกระดับสำนักงานบริหารกองทุนเพื่อส่งเสริมการอนุรักษ์พลังงานเป็นนิติบุคคล</t>
  </si>
  <si>
    <t>โครงการจ้างที่ปรึกษาบริหารสื่อมวลชนสัมพันธ์ สำนักงานบริหารกองทุนเพื่อส่งเสริมการอนุรักษ์พลังงาน (ส.กทอ.) ปีงบประมาณ 2568</t>
  </si>
  <si>
    <t>โครงการที่ปรึกษาด้านเทคโนโลยีสารสนเทศ สำนักงานบริหารกองทุนเพื่อส่งเสริมการอนุรักษ์พลังงาน ปีงบประมาณ พ.ศ. 2568</t>
  </si>
  <si>
    <t>โครงการพัฒนาระบบการจัดการทรัพยากรองค์กร ด้านการเงิน การบัญชี และพัสดุ เพื่อบูรณาการข้อมูลการบริหาร งานกองทุน เพื่อส่งเสริมการอนุรักษ์พลังงาน ของสำนักงานบริหารกองทุนเพื่อส่งเสริมการอนุรักษ์พลังงาน (ส.กทอ.)</t>
  </si>
  <si>
    <t>เครื่องสแกนลายนิ้วมือ</t>
  </si>
  <si>
    <t>กล้องโทรทัศน์วงจรปิดชนิดเครือข่าย แบบมุมมองคงที่สำหรับติดตั้ง
ภายในอาคาร</t>
  </si>
  <si>
    <t>เครื่องบันทึกกล้องวงจรปิด</t>
  </si>
  <si>
    <t>อุปกรณ์กระจายสัญญาณไร้สาย (Access Point)</t>
  </si>
  <si>
    <t>อุปกรณ์กระจายสัญญาณ (L3 Switch) ขนาด 24 ช่อง</t>
  </si>
  <si>
    <t>ตู้สําหรับจัดเก็บเครื่องคอมพิวเตอร์และอุปกรณ์ แบบที่ 2 (ขนาด 42U)</t>
  </si>
  <si>
    <t>เครื่องสํารองไฟฟ้า ขนาด 10 kVA  (ระบบไฟฟ้า 3 เฟส)</t>
  </si>
  <si>
    <t>ชุดโปรแกรมระบบปฏิบัติการสำหรับเครื่อง คอมพิวเตอร์แม่ข่าย (Server)</t>
  </si>
  <si>
    <t>เครื่องคอมพิวเตอร์แม่ข่าย แบบที่ 2</t>
  </si>
  <si>
    <t>เครื่องคอมพิวเตอร์โน๊ตบุ๊ค สำหรับสำนักงาน</t>
  </si>
  <si>
    <t xml:space="preserve">เครื่องคอมพิวเตอร์ สำหรับงานประมวลผล </t>
  </si>
  <si>
    <t>เครื่องพิมพ์ Multifunction เลเซอร์ หรือ LED สี</t>
  </si>
  <si>
    <t>เครื่องพิมพ์เลเซอร์ หรือ LED ขาวดำ</t>
  </si>
  <si>
    <t>เครื่องรับส่งภาพและเสียงแบบไร้สาย</t>
  </si>
  <si>
    <t xml:space="preserve">Adobe Creative Cloud All App </t>
  </si>
  <si>
    <t>เครื่องฟอกอากาศ</t>
  </si>
  <si>
    <t>ค่าที่ดินและสิ่งปลูกสร้าง</t>
  </si>
  <si>
    <t xml:space="preserve">ค่าควบคุมงานจ้างตกแต่งภายในพร้อมครุภัณฑ์ สำนักงานบริหารกองทุนเพื่อส่งเสริมการอนุรักษ์พลังงาน  </t>
  </si>
  <si>
    <t>ค่าตกแต่งภายในพร้อมครุภัณฑ์ สำนักงานบริหารกองทุนเพื่อส่งเสริมการอนุรักษ์พลังงาน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</si>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</sst>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_-* #,##0_-;\-* #,##0_-;_-* &quot;-&quot;??_-;_-@_-"/>
    <numFmt numFmtId="188" formatCode="#,##0.00;[Red]#,##0.00"/>
    <numFmt numFmtId="189" formatCode="_(* #,##0.00_);_(* \(#,##0.00\);_(* &quot;-&quot;??_);_(@_)"/>
  </numFmts>
  <fonts count="13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4"/>
      <name val="EucrosiaUPC"/>
      <family val="1"/>
      <charset val="222"/>
    </font>
    <font>
      <sz val="18"/>
      <color theme="2"/>
      <name val="Angsana New"/>
      <family val="1"/>
    </font>
    <font>
      <b/>
      <sz val="18"/>
      <color theme="2"/>
      <name val="Angsana New"/>
      <family val="1"/>
    </font>
    <font>
      <sz val="18"/>
      <color theme="1"/>
      <name val="Angsana New"/>
      <family val="1"/>
    </font>
    <font>
      <sz val="18"/>
      <color theme="0"/>
      <name val="Angsana New"/>
      <family val="1"/>
    </font>
    <font>
      <b/>
      <sz val="18"/>
      <color theme="1"/>
      <name val="Angsana New"/>
      <family val="1"/>
    </font>
    <font>
      <sz val="18"/>
      <name val="Angsana New"/>
      <family val="1"/>
    </font>
    <font>
      <b/>
      <sz val="18"/>
      <color theme="0"/>
      <name val="Angsana New"/>
      <family val="1"/>
    </font>
    <font>
      <sz val="11"/>
      <color theme="1"/>
      <name val="Tahoma"/>
      <family val="2"/>
      <scheme val="minor"/>
    </font>
    <font>
      <b/>
      <sz val="18"/>
      <name val="Angsana New"/>
      <family val="1"/>
    </font>
  </fonts>
  <fills count="10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9" fontId="11" fillId="0" borderId="0" applyFont="0" applyFill="0" applyBorder="0" applyAlignment="0" applyProtection="0"/>
  </cellStyleXfs>
  <cellXfs count="88">
    <xf numFmtId="0" fontId="0" fillId="0" borderId="0" xfId="0"/>
    <xf numFmtId="0" fontId="4" fillId="2" borderId="1" xfId="0" applyFont="1" applyFill="1" applyBorder="1"/>
    <xf numFmtId="4" fontId="5" fillId="2" borderId="4" xfId="2" applyNumberFormat="1" applyFont="1" applyFill="1" applyBorder="1" applyAlignment="1">
      <alignment horizontal="right" vertical="top" shrinkToFit="1"/>
    </xf>
    <xf numFmtId="0" fontId="6" fillId="0" borderId="0" xfId="0" applyFont="1"/>
    <xf numFmtId="0" fontId="4" fillId="3" borderId="1" xfId="0" applyFont="1" applyFill="1" applyBorder="1"/>
    <xf numFmtId="188" fontId="5" fillId="3" borderId="7" xfId="5" applyNumberFormat="1" applyFont="1" applyFill="1" applyBorder="1" applyAlignment="1">
      <alignment horizontal="right" vertical="top" shrinkToFit="1"/>
    </xf>
    <xf numFmtId="187" fontId="6" fillId="0" borderId="0" xfId="0" applyNumberFormat="1" applyFont="1"/>
    <xf numFmtId="4" fontId="7" fillId="2" borderId="0" xfId="0" applyNumberFormat="1" applyFont="1" applyFill="1"/>
    <xf numFmtId="4" fontId="7" fillId="3" borderId="0" xfId="0" applyNumberFormat="1" applyFont="1" applyFill="1"/>
    <xf numFmtId="0" fontId="6" fillId="4" borderId="1" xfId="0" applyFont="1" applyFill="1" applyBorder="1"/>
    <xf numFmtId="188" fontId="8" fillId="4" borderId="7" xfId="5" applyNumberFormat="1" applyFont="1" applyFill="1" applyBorder="1" applyAlignment="1">
      <alignment horizontal="right" vertical="top" shrinkToFit="1"/>
    </xf>
    <xf numFmtId="0" fontId="6" fillId="5" borderId="1" xfId="0" applyFont="1" applyFill="1" applyBorder="1"/>
    <xf numFmtId="4" fontId="8" fillId="5" borderId="7" xfId="5" applyNumberFormat="1" applyFont="1" applyFill="1" applyBorder="1" applyAlignment="1">
      <alignment horizontal="right" vertical="top" shrinkToFit="1"/>
    </xf>
    <xf numFmtId="0" fontId="6" fillId="6" borderId="1" xfId="0" applyFont="1" applyFill="1" applyBorder="1"/>
    <xf numFmtId="4" fontId="6" fillId="6" borderId="7" xfId="5" applyNumberFormat="1" applyFont="1" applyFill="1" applyBorder="1" applyAlignment="1">
      <alignment horizontal="right" vertical="top" shrinkToFit="1"/>
    </xf>
    <xf numFmtId="43" fontId="8" fillId="5" borderId="7" xfId="6" applyFont="1" applyFill="1" applyBorder="1" applyAlignment="1">
      <alignment horizontal="right" vertical="top" shrinkToFit="1"/>
    </xf>
    <xf numFmtId="43" fontId="6" fillId="6" borderId="7" xfId="6" applyFont="1" applyFill="1" applyBorder="1" applyAlignment="1">
      <alignment horizontal="right" vertical="top" shrinkToFit="1"/>
    </xf>
    <xf numFmtId="4" fontId="8" fillId="6" borderId="7" xfId="5" applyNumberFormat="1" applyFont="1" applyFill="1" applyBorder="1" applyAlignment="1">
      <alignment horizontal="right" vertical="top" shrinkToFit="1"/>
    </xf>
    <xf numFmtId="0" fontId="6" fillId="7" borderId="1" xfId="0" applyFont="1" applyFill="1" applyBorder="1"/>
    <xf numFmtId="4" fontId="9" fillId="7" borderId="7" xfId="5" applyNumberFormat="1" applyFont="1" applyFill="1" applyBorder="1" applyAlignment="1">
      <alignment vertical="top" shrinkToFit="1"/>
    </xf>
    <xf numFmtId="4" fontId="9" fillId="7" borderId="7" xfId="5" applyNumberFormat="1" applyFont="1" applyFill="1" applyBorder="1" applyAlignment="1">
      <alignment horizontal="right" vertical="top" shrinkToFit="1"/>
    </xf>
    <xf numFmtId="4" fontId="8" fillId="4" borderId="7" xfId="5" applyNumberFormat="1" applyFont="1" applyFill="1" applyBorder="1" applyAlignment="1">
      <alignment horizontal="right" vertical="top" shrinkToFit="1"/>
    </xf>
    <xf numFmtId="4" fontId="5" fillId="2" borderId="7" xfId="5" applyNumberFormat="1" applyFont="1" applyFill="1" applyBorder="1" applyAlignment="1">
      <alignment horizontal="right" vertical="top" shrinkToFit="1"/>
    </xf>
    <xf numFmtId="4" fontId="5" fillId="3" borderId="7" xfId="5" applyNumberFormat="1" applyFont="1" applyFill="1" applyBorder="1" applyAlignment="1">
      <alignment horizontal="right" vertical="top" shrinkToFit="1"/>
    </xf>
    <xf numFmtId="4" fontId="6" fillId="5" borderId="7" xfId="5" applyNumberFormat="1" applyFont="1" applyFill="1" applyBorder="1" applyAlignment="1">
      <alignment horizontal="right" vertical="top" shrinkToFit="1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7" borderId="7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1" xfId="0" applyFont="1" applyFill="1" applyBorder="1"/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188" fontId="10" fillId="3" borderId="7" xfId="5" applyNumberFormat="1" applyFont="1" applyFill="1" applyBorder="1" applyAlignment="1">
      <alignment horizontal="right" vertical="top" shrinkToFit="1"/>
    </xf>
    <xf numFmtId="4" fontId="10" fillId="3" borderId="7" xfId="5" applyNumberFormat="1" applyFont="1" applyFill="1" applyBorder="1" applyAlignment="1">
      <alignment horizontal="right" vertical="top" shrinkToFit="1"/>
    </xf>
    <xf numFmtId="43" fontId="6" fillId="0" borderId="0" xfId="7" applyFont="1"/>
    <xf numFmtId="43" fontId="6" fillId="0" borderId="0" xfId="0" applyNumberFormat="1" applyFont="1"/>
    <xf numFmtId="4" fontId="0" fillId="0" borderId="0" xfId="0" applyNumberFormat="1"/>
    <xf numFmtId="0" fontId="8" fillId="8" borderId="0" xfId="0" applyFont="1" applyFill="1"/>
    <xf numFmtId="0" fontId="8" fillId="8" borderId="0" xfId="0" applyFont="1" applyFill="1" applyAlignment="1">
      <alignment horizontal="center"/>
    </xf>
    <xf numFmtId="0" fontId="6" fillId="4" borderId="1" xfId="0" applyFont="1" applyFill="1" applyBorder="1" applyAlignment="1">
      <alignment wrapText="1"/>
    </xf>
    <xf numFmtId="43" fontId="6" fillId="0" borderId="0" xfId="7" applyFont="1" applyFill="1"/>
    <xf numFmtId="188" fontId="6" fillId="0" borderId="0" xfId="0" applyNumberFormat="1" applyFont="1"/>
    <xf numFmtId="4" fontId="6" fillId="0" borderId="0" xfId="0" applyNumberFormat="1" applyFont="1"/>
    <xf numFmtId="0" fontId="6" fillId="9" borderId="0" xfId="0" applyFont="1" applyFill="1"/>
    <xf numFmtId="43" fontId="6" fillId="9" borderId="0" xfId="0" applyNumberFormat="1" applyFont="1" applyFill="1"/>
    <xf numFmtId="0" fontId="9" fillId="0" borderId="0" xfId="0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9" fillId="0" borderId="0" xfId="0" applyFont="1"/>
    <xf numFmtId="0" fontId="12" fillId="0" borderId="0" xfId="2" applyFont="1" applyAlignment="1">
      <alignment vertical="top"/>
    </xf>
    <xf numFmtId="0" fontId="12" fillId="0" borderId="0" xfId="2" applyFont="1" applyAlignment="1">
      <alignment horizontal="center" vertical="top"/>
    </xf>
    <xf numFmtId="189" fontId="12" fillId="0" borderId="0" xfId="8" applyFont="1" applyFill="1" applyBorder="1" applyAlignment="1">
      <alignment horizontal="right" vertical="top" shrinkToFit="1"/>
    </xf>
    <xf numFmtId="0" fontId="12" fillId="0" borderId="0" xfId="2" applyFont="1" applyAlignment="1">
      <alignment horizontal="left" vertical="top"/>
    </xf>
    <xf numFmtId="49" fontId="12" fillId="0" borderId="0" xfId="2" applyNumberFormat="1" applyFont="1" applyAlignment="1">
      <alignment vertical="top"/>
    </xf>
    <xf numFmtId="49" fontId="12" fillId="0" borderId="0" xfId="2" applyNumberFormat="1" applyFont="1" applyAlignment="1">
      <alignment horizontal="center" vertical="top"/>
    </xf>
    <xf numFmtId="0" fontId="9" fillId="0" borderId="0" xfId="2" applyFont="1" applyAlignment="1">
      <alignment vertical="top" wrapText="1"/>
    </xf>
    <xf numFmtId="0" fontId="9" fillId="0" borderId="0" xfId="2" applyFont="1" applyAlignment="1">
      <alignment horizontal="center" vertical="top" wrapText="1"/>
    </xf>
    <xf numFmtId="49" fontId="9" fillId="0" borderId="0" xfId="2" applyNumberFormat="1" applyFont="1" applyAlignment="1">
      <alignment vertical="top" wrapText="1"/>
    </xf>
    <xf numFmtId="49" fontId="9" fillId="0" borderId="0" xfId="2" applyNumberFormat="1" applyFont="1" applyAlignment="1">
      <alignment horizontal="center" vertical="top" wrapText="1"/>
    </xf>
    <xf numFmtId="49" fontId="9" fillId="0" borderId="0" xfId="2" applyNumberFormat="1" applyFont="1" applyAlignment="1">
      <alignment vertical="top" wrapText="1" shrinkToFit="1"/>
    </xf>
    <xf numFmtId="49" fontId="9" fillId="0" borderId="0" xfId="2" applyNumberFormat="1" applyFont="1" applyAlignment="1">
      <alignment horizontal="center" vertical="top" wrapText="1" shrinkToFit="1"/>
    </xf>
    <xf numFmtId="49" fontId="9" fillId="0" borderId="0" xfId="2" applyNumberFormat="1" applyFont="1" applyAlignment="1">
      <alignment vertical="top"/>
    </xf>
    <xf numFmtId="49" fontId="9" fillId="0" borderId="0" xfId="2" applyNumberFormat="1" applyFont="1" applyAlignment="1">
      <alignment horizontal="center" vertical="top"/>
    </xf>
    <xf numFmtId="49" fontId="12" fillId="0" borderId="0" xfId="2" applyNumberFormat="1" applyFont="1" applyAlignment="1">
      <alignment horizontal="left" vertical="top"/>
    </xf>
    <xf numFmtId="49" fontId="9" fillId="0" borderId="0" xfId="2" applyNumberFormat="1" applyFont="1" applyAlignment="1">
      <alignment horizontal="left" vertical="top"/>
    </xf>
    <xf numFmtId="43" fontId="12" fillId="0" borderId="0" xfId="8" applyNumberFormat="1" applyFont="1" applyFill="1" applyBorder="1" applyAlignment="1">
      <alignment horizontal="right" vertical="top" shrinkToFit="1"/>
    </xf>
    <xf numFmtId="0" fontId="0" fillId="9" borderId="0" xfId="0" applyFill="1"/>
    <xf numFmtId="4" fontId="0" fillId="9" borderId="0" xfId="0" applyNumberFormat="1" applyFill="1"/>
  </cellXfs>
  <cellStyles count="9">
    <cellStyle name="Comma" xfId="7" builtinId="3"/>
    <cellStyle name="Comma 2" xfId="4" xr:uid="{EF05D7F7-63E5-4D8B-B5E5-5D78CA55EFF6}"/>
    <cellStyle name="Comma 2 2" xfId="1" xr:uid="{D0662DB7-1AB8-4E43-8399-1E3D0604B87A}"/>
    <cellStyle name="Comma 2 2 2" xfId="5" xr:uid="{4D1BFCD0-0CBA-4C50-8398-B31A9BA01178}"/>
    <cellStyle name="Normal" xfId="0" builtinId="0"/>
    <cellStyle name="จุลภาค 2" xfId="3" xr:uid="{DF7267F1-46AB-43CA-9C18-23670837F209}"/>
    <cellStyle name="จุลภาค 2 2" xfId="6" xr:uid="{BEF3939B-A03B-4E6B-B77D-443C800E04D3}"/>
    <cellStyle name="จุลภาค 6" xfId="8" xr:uid="{F8158BB1-5A41-4768-BCE4-0DFD51534DF8}"/>
    <cellStyle name="ปกติ_รายละเอียดของบ 47 สนพ.(แก้ไข)" xfId="2" xr:uid="{D30DBF32-D589-4B2F-B21A-E39075313955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A99EF-C0EB-464A-B883-2FAFE92F0752}">
  <dimension ref="A1:O131"/>
  <sheetViews>
    <sheetView tabSelected="1" zoomScaleNormal="100" workbookViewId="0">
      <selection activeCell="H93" sqref="H93"/>
    </sheetView>
  </sheetViews>
  <sheetFormatPr defaultColWidth="8.69921875" defaultRowHeight="25.8" x14ac:dyDescent="0.65"/>
  <cols>
    <col min="1" max="1" width="12.5" style="3" customWidth="1"/>
    <col min="2" max="2" width="84.19921875" style="3" customWidth="1"/>
    <col min="3" max="3" width="11.59765625" style="40" bestFit="1" customWidth="1"/>
    <col min="4" max="4" width="6.8984375" style="40" customWidth="1"/>
    <col min="5" max="5" width="8.69921875" style="40" customWidth="1"/>
    <col min="6" max="6" width="17.09765625" style="3" customWidth="1"/>
    <col min="7" max="7" width="12.69921875" style="3" bestFit="1" customWidth="1"/>
    <col min="8" max="8" width="13.8984375" style="54" bestFit="1" customWidth="1"/>
    <col min="9" max="9" width="12.69921875" style="3" bestFit="1" customWidth="1"/>
    <col min="10" max="10" width="12.69921875" style="54" bestFit="1" customWidth="1"/>
    <col min="11" max="14" width="8.69921875" style="3"/>
    <col min="15" max="15" width="29.59765625" style="3" bestFit="1" customWidth="1"/>
    <col min="16" max="16384" width="8.69921875" style="3"/>
  </cols>
  <sheetData>
    <row r="1" spans="1:11" ht="26.4" x14ac:dyDescent="0.7">
      <c r="A1" s="57" t="s">
        <v>87</v>
      </c>
      <c r="B1" s="57" t="s">
        <v>94</v>
      </c>
      <c r="C1" s="58" t="s">
        <v>88</v>
      </c>
      <c r="D1" s="58" t="s">
        <v>89</v>
      </c>
      <c r="E1" s="58" t="s">
        <v>90</v>
      </c>
      <c r="F1" s="57" t="s">
        <v>91</v>
      </c>
      <c r="J1" s="54" t="s">
        <v>147</v>
      </c>
    </row>
    <row r="2" spans="1:11" ht="26.4" x14ac:dyDescent="0.65">
      <c r="A2" s="41">
        <v>100000</v>
      </c>
      <c r="B2" s="1" t="s">
        <v>30</v>
      </c>
      <c r="C2" s="41"/>
      <c r="D2" s="25">
        <v>1</v>
      </c>
      <c r="E2" s="26" t="s">
        <v>16</v>
      </c>
      <c r="F2" s="2">
        <f>+F3</f>
        <v>30658649</v>
      </c>
      <c r="G2" s="55"/>
      <c r="H2" s="3"/>
      <c r="I2" s="3" t="s">
        <v>138</v>
      </c>
      <c r="J2" s="3">
        <v>1</v>
      </c>
      <c r="K2" s="3">
        <v>1</v>
      </c>
    </row>
    <row r="3" spans="1:11" ht="26.4" x14ac:dyDescent="0.65">
      <c r="A3" s="42">
        <v>110000</v>
      </c>
      <c r="B3" s="4" t="s">
        <v>31</v>
      </c>
      <c r="C3" s="42">
        <v>100000</v>
      </c>
      <c r="D3" s="27">
        <v>2</v>
      </c>
      <c r="E3" s="28" t="s">
        <v>18</v>
      </c>
      <c r="F3" s="5">
        <v>30658649</v>
      </c>
      <c r="G3" s="6"/>
      <c r="H3" s="3"/>
      <c r="I3" s="3" t="s">
        <v>139</v>
      </c>
      <c r="J3" s="3">
        <v>1</v>
      </c>
      <c r="K3" s="3">
        <v>2</v>
      </c>
    </row>
    <row r="4" spans="1:11" x14ac:dyDescent="0.65">
      <c r="A4" s="43">
        <v>200000</v>
      </c>
      <c r="B4" s="1" t="s">
        <v>15</v>
      </c>
      <c r="C4" s="43"/>
      <c r="D4" s="29">
        <v>1</v>
      </c>
      <c r="E4" s="26" t="s">
        <v>16</v>
      </c>
      <c r="F4" s="7">
        <f>+F5+F105+F115</f>
        <v>84732582</v>
      </c>
      <c r="G4" s="55"/>
      <c r="H4" s="55"/>
      <c r="I4" s="3" t="s">
        <v>141</v>
      </c>
      <c r="J4" s="3">
        <v>2</v>
      </c>
      <c r="K4" s="3">
        <v>21</v>
      </c>
    </row>
    <row r="5" spans="1:11" x14ac:dyDescent="0.65">
      <c r="A5" s="42">
        <v>210000</v>
      </c>
      <c r="B5" s="4" t="s">
        <v>17</v>
      </c>
      <c r="C5" s="42">
        <v>200000</v>
      </c>
      <c r="D5" s="27">
        <v>2</v>
      </c>
      <c r="E5" s="28" t="s">
        <v>16</v>
      </c>
      <c r="F5" s="8">
        <f>+F6+F15+F97</f>
        <v>75709392</v>
      </c>
      <c r="G5" s="55"/>
      <c r="H5" s="55"/>
      <c r="I5" s="3" t="s">
        <v>142</v>
      </c>
      <c r="J5" s="3">
        <v>3</v>
      </c>
      <c r="K5" s="3">
        <v>211</v>
      </c>
    </row>
    <row r="6" spans="1:11" ht="26.4" x14ac:dyDescent="0.65">
      <c r="A6" s="44">
        <v>211000</v>
      </c>
      <c r="B6" s="9" t="s">
        <v>0</v>
      </c>
      <c r="C6" s="44">
        <v>210000</v>
      </c>
      <c r="D6" s="30">
        <v>3</v>
      </c>
      <c r="E6" s="31" t="s">
        <v>16</v>
      </c>
      <c r="F6" s="10">
        <f>+F7+F8+F14</f>
        <v>1306000</v>
      </c>
      <c r="G6" s="55"/>
      <c r="H6" s="55"/>
      <c r="I6" s="3" t="s">
        <v>143</v>
      </c>
      <c r="J6" s="3">
        <v>3</v>
      </c>
      <c r="K6" s="3">
        <v>212</v>
      </c>
    </row>
    <row r="7" spans="1:11" ht="26.4" x14ac:dyDescent="0.65">
      <c r="A7" s="45">
        <v>211100</v>
      </c>
      <c r="B7" s="11" t="s">
        <v>1</v>
      </c>
      <c r="C7" s="45">
        <v>211000</v>
      </c>
      <c r="D7" s="32">
        <v>4</v>
      </c>
      <c r="E7" s="33" t="s">
        <v>18</v>
      </c>
      <c r="F7" s="12">
        <v>216000</v>
      </c>
      <c r="I7" s="3" t="s">
        <v>144</v>
      </c>
      <c r="J7" s="3">
        <v>3</v>
      </c>
      <c r="K7" s="3">
        <v>213</v>
      </c>
    </row>
    <row r="8" spans="1:11" ht="26.4" x14ac:dyDescent="0.65">
      <c r="A8" s="45">
        <v>211200</v>
      </c>
      <c r="B8" s="11" t="s">
        <v>2</v>
      </c>
      <c r="C8" s="45">
        <v>211000</v>
      </c>
      <c r="D8" s="32">
        <v>4</v>
      </c>
      <c r="E8" s="33" t="s">
        <v>16</v>
      </c>
      <c r="F8" s="12">
        <f>SUM(F9:F13)</f>
        <v>812800</v>
      </c>
      <c r="G8" s="55"/>
      <c r="I8" s="3" t="s">
        <v>145</v>
      </c>
      <c r="J8" s="3">
        <v>2</v>
      </c>
      <c r="K8" s="3">
        <v>22</v>
      </c>
    </row>
    <row r="9" spans="1:11" x14ac:dyDescent="0.65">
      <c r="A9" s="46">
        <v>211201</v>
      </c>
      <c r="B9" s="13" t="s">
        <v>3</v>
      </c>
      <c r="C9" s="46">
        <v>211200</v>
      </c>
      <c r="D9" s="34">
        <v>5</v>
      </c>
      <c r="E9" s="35" t="s">
        <v>18</v>
      </c>
      <c r="F9" s="14">
        <v>158400</v>
      </c>
      <c r="I9" s="3" t="s">
        <v>146</v>
      </c>
      <c r="J9" s="3">
        <v>2</v>
      </c>
      <c r="K9" s="3">
        <v>23</v>
      </c>
    </row>
    <row r="10" spans="1:11" x14ac:dyDescent="0.65">
      <c r="A10" s="46">
        <v>211202</v>
      </c>
      <c r="B10" s="13" t="s">
        <v>4</v>
      </c>
      <c r="C10" s="46">
        <v>211200</v>
      </c>
      <c r="D10" s="34">
        <v>5</v>
      </c>
      <c r="E10" s="35" t="s">
        <v>18</v>
      </c>
      <c r="F10" s="14">
        <v>194400</v>
      </c>
      <c r="I10" s="3" t="s">
        <v>140</v>
      </c>
      <c r="J10" s="3">
        <v>1</v>
      </c>
      <c r="K10" s="3">
        <v>3</v>
      </c>
    </row>
    <row r="11" spans="1:11" x14ac:dyDescent="0.65">
      <c r="A11" s="46">
        <v>211203</v>
      </c>
      <c r="B11" s="13" t="s">
        <v>92</v>
      </c>
      <c r="C11" s="46">
        <v>211200</v>
      </c>
      <c r="D11" s="34">
        <v>5</v>
      </c>
      <c r="E11" s="35" t="s">
        <v>18</v>
      </c>
      <c r="F11" s="14">
        <v>196000</v>
      </c>
    </row>
    <row r="12" spans="1:11" x14ac:dyDescent="0.65">
      <c r="A12" s="46">
        <v>211204</v>
      </c>
      <c r="B12" s="13" t="s">
        <v>5</v>
      </c>
      <c r="C12" s="46">
        <v>211200</v>
      </c>
      <c r="D12" s="34">
        <v>5</v>
      </c>
      <c r="E12" s="35" t="s">
        <v>18</v>
      </c>
      <c r="F12" s="14">
        <v>196800</v>
      </c>
    </row>
    <row r="13" spans="1:11" x14ac:dyDescent="0.65">
      <c r="A13" s="46">
        <v>211205</v>
      </c>
      <c r="B13" s="13" t="s">
        <v>6</v>
      </c>
      <c r="C13" s="46">
        <v>211200</v>
      </c>
      <c r="D13" s="34">
        <v>5</v>
      </c>
      <c r="E13" s="35" t="s">
        <v>18</v>
      </c>
      <c r="F13" s="14">
        <v>67200</v>
      </c>
    </row>
    <row r="14" spans="1:11" ht="26.4" x14ac:dyDescent="0.65">
      <c r="A14" s="45">
        <v>211300</v>
      </c>
      <c r="B14" s="11" t="s">
        <v>32</v>
      </c>
      <c r="C14" s="45">
        <v>211000</v>
      </c>
      <c r="D14" s="32">
        <v>4</v>
      </c>
      <c r="E14" s="33" t="s">
        <v>18</v>
      </c>
      <c r="F14" s="12">
        <v>277200</v>
      </c>
    </row>
    <row r="15" spans="1:11" ht="26.4" x14ac:dyDescent="0.65">
      <c r="A15" s="44">
        <v>212000</v>
      </c>
      <c r="B15" s="9" t="s">
        <v>7</v>
      </c>
      <c r="C15" s="44">
        <v>210000</v>
      </c>
      <c r="D15" s="30">
        <v>3</v>
      </c>
      <c r="E15" s="31" t="s">
        <v>16</v>
      </c>
      <c r="F15" s="10">
        <f>+F16+F24+F33+F43+F47+F50+F59+F60+F64+F65+F66+F67+F68+F69+F70+F71+F72+F81+F82+F83+F84+F85+F86+F87+F88+F89+F90+F93+F94+F95+F96</f>
        <v>72156132</v>
      </c>
      <c r="G15" s="55"/>
      <c r="H15" s="55"/>
      <c r="J15" s="3"/>
    </row>
    <row r="16" spans="1:11" ht="26.4" x14ac:dyDescent="0.65">
      <c r="A16" s="45">
        <v>212100</v>
      </c>
      <c r="B16" s="11" t="s">
        <v>8</v>
      </c>
      <c r="C16" s="45">
        <v>212000</v>
      </c>
      <c r="D16" s="32">
        <v>4</v>
      </c>
      <c r="E16" s="33" t="s">
        <v>16</v>
      </c>
      <c r="F16" s="12">
        <f>SUM(F17:F23)</f>
        <v>739260</v>
      </c>
    </row>
    <row r="17" spans="1:10" x14ac:dyDescent="0.65">
      <c r="A17" s="46">
        <v>212101</v>
      </c>
      <c r="B17" s="13" t="s">
        <v>14</v>
      </c>
      <c r="C17" s="46">
        <v>212100</v>
      </c>
      <c r="D17" s="34">
        <v>5</v>
      </c>
      <c r="E17" s="35" t="s">
        <v>18</v>
      </c>
      <c r="F17" s="14">
        <v>32220</v>
      </c>
      <c r="H17" s="60"/>
      <c r="J17" s="60"/>
    </row>
    <row r="18" spans="1:10" x14ac:dyDescent="0.65">
      <c r="A18" s="46">
        <v>212102</v>
      </c>
      <c r="B18" s="13" t="s">
        <v>9</v>
      </c>
      <c r="C18" s="46">
        <v>212100</v>
      </c>
      <c r="D18" s="34">
        <v>5</v>
      </c>
      <c r="E18" s="35" t="s">
        <v>18</v>
      </c>
      <c r="F18" s="14">
        <v>35360</v>
      </c>
    </row>
    <row r="19" spans="1:10" x14ac:dyDescent="0.65">
      <c r="A19" s="46">
        <v>212103</v>
      </c>
      <c r="B19" s="13" t="s">
        <v>10</v>
      </c>
      <c r="C19" s="46">
        <v>212100</v>
      </c>
      <c r="D19" s="34">
        <v>5</v>
      </c>
      <c r="E19" s="35" t="s">
        <v>18</v>
      </c>
      <c r="F19" s="14">
        <v>127680</v>
      </c>
    </row>
    <row r="20" spans="1:10" x14ac:dyDescent="0.65">
      <c r="A20" s="46">
        <v>212104</v>
      </c>
      <c r="B20" s="13" t="s">
        <v>11</v>
      </c>
      <c r="C20" s="46">
        <v>212100</v>
      </c>
      <c r="D20" s="34">
        <v>5</v>
      </c>
      <c r="E20" s="35" t="s">
        <v>18</v>
      </c>
      <c r="F20" s="14">
        <v>102900</v>
      </c>
    </row>
    <row r="21" spans="1:10" x14ac:dyDescent="0.65">
      <c r="A21" s="46">
        <v>212105</v>
      </c>
      <c r="B21" s="13" t="s">
        <v>12</v>
      </c>
      <c r="C21" s="46">
        <v>212100</v>
      </c>
      <c r="D21" s="34">
        <v>5</v>
      </c>
      <c r="E21" s="35" t="s">
        <v>18</v>
      </c>
      <c r="F21" s="14">
        <v>390000</v>
      </c>
    </row>
    <row r="22" spans="1:10" x14ac:dyDescent="0.65">
      <c r="A22" s="46">
        <v>212106</v>
      </c>
      <c r="B22" s="13" t="s">
        <v>13</v>
      </c>
      <c r="C22" s="46">
        <v>212100</v>
      </c>
      <c r="D22" s="34">
        <v>5</v>
      </c>
      <c r="E22" s="35" t="s">
        <v>18</v>
      </c>
      <c r="F22" s="14">
        <v>6440</v>
      </c>
    </row>
    <row r="23" spans="1:10" x14ac:dyDescent="0.65">
      <c r="A23" s="46">
        <v>212107</v>
      </c>
      <c r="B23" s="13" t="s">
        <v>14</v>
      </c>
      <c r="C23" s="46">
        <v>212100</v>
      </c>
      <c r="D23" s="34">
        <v>5</v>
      </c>
      <c r="E23" s="35" t="s">
        <v>18</v>
      </c>
      <c r="F23" s="14">
        <v>44660</v>
      </c>
    </row>
    <row r="24" spans="1:10" ht="26.4" x14ac:dyDescent="0.65">
      <c r="A24" s="45">
        <v>212200</v>
      </c>
      <c r="B24" s="11" t="s">
        <v>19</v>
      </c>
      <c r="C24" s="45">
        <v>212000</v>
      </c>
      <c r="D24" s="32">
        <v>4</v>
      </c>
      <c r="E24" s="33" t="s">
        <v>16</v>
      </c>
      <c r="F24" s="12">
        <f>SUM(F25:F32)</f>
        <v>209175</v>
      </c>
    </row>
    <row r="25" spans="1:10" x14ac:dyDescent="0.65">
      <c r="A25" s="46">
        <v>212201</v>
      </c>
      <c r="B25" s="13" t="s">
        <v>20</v>
      </c>
      <c r="C25" s="46">
        <v>212200</v>
      </c>
      <c r="D25" s="34">
        <v>5</v>
      </c>
      <c r="E25" s="35" t="s">
        <v>18</v>
      </c>
      <c r="F25" s="14">
        <v>22200</v>
      </c>
    </row>
    <row r="26" spans="1:10" x14ac:dyDescent="0.65">
      <c r="A26" s="46">
        <v>212202</v>
      </c>
      <c r="B26" s="13" t="s">
        <v>21</v>
      </c>
      <c r="C26" s="46">
        <v>212200</v>
      </c>
      <c r="D26" s="34">
        <v>5</v>
      </c>
      <c r="E26" s="35" t="s">
        <v>18</v>
      </c>
      <c r="F26" s="14">
        <v>19800</v>
      </c>
    </row>
    <row r="27" spans="1:10" x14ac:dyDescent="0.65">
      <c r="A27" s="46">
        <v>212203</v>
      </c>
      <c r="B27" s="13" t="s">
        <v>22</v>
      </c>
      <c r="C27" s="46">
        <v>212200</v>
      </c>
      <c r="D27" s="34">
        <v>5</v>
      </c>
      <c r="E27" s="35" t="s">
        <v>18</v>
      </c>
      <c r="F27" s="14">
        <v>18600</v>
      </c>
    </row>
    <row r="28" spans="1:10" x14ac:dyDescent="0.65">
      <c r="A28" s="46">
        <v>212204</v>
      </c>
      <c r="B28" s="13" t="s">
        <v>23</v>
      </c>
      <c r="C28" s="46">
        <v>212200</v>
      </c>
      <c r="D28" s="34">
        <v>5</v>
      </c>
      <c r="E28" s="35" t="s">
        <v>18</v>
      </c>
      <c r="F28" s="14">
        <v>57000</v>
      </c>
    </row>
    <row r="29" spans="1:10" x14ac:dyDescent="0.65">
      <c r="A29" s="46">
        <v>212205</v>
      </c>
      <c r="B29" s="13" t="s">
        <v>111</v>
      </c>
      <c r="C29" s="46">
        <v>212200</v>
      </c>
      <c r="D29" s="34">
        <v>5</v>
      </c>
      <c r="E29" s="35" t="s">
        <v>18</v>
      </c>
      <c r="F29" s="14">
        <v>34875</v>
      </c>
    </row>
    <row r="30" spans="1:10" x14ac:dyDescent="0.65">
      <c r="A30" s="46">
        <v>212206</v>
      </c>
      <c r="B30" s="13" t="s">
        <v>24</v>
      </c>
      <c r="C30" s="46">
        <v>212200</v>
      </c>
      <c r="D30" s="34">
        <v>5</v>
      </c>
      <c r="E30" s="35" t="s">
        <v>18</v>
      </c>
      <c r="F30" s="14">
        <v>10500</v>
      </c>
    </row>
    <row r="31" spans="1:10" x14ac:dyDescent="0.65">
      <c r="A31" s="46">
        <v>212207</v>
      </c>
      <c r="B31" s="13" t="s">
        <v>112</v>
      </c>
      <c r="C31" s="46">
        <v>212200</v>
      </c>
      <c r="D31" s="34">
        <v>5</v>
      </c>
      <c r="E31" s="35" t="s">
        <v>18</v>
      </c>
      <c r="F31" s="14">
        <v>31000</v>
      </c>
      <c r="H31" s="60"/>
      <c r="J31" s="60"/>
    </row>
    <row r="32" spans="1:10" x14ac:dyDescent="0.65">
      <c r="A32" s="46">
        <v>212208</v>
      </c>
      <c r="B32" s="13" t="s">
        <v>25</v>
      </c>
      <c r="C32" s="46">
        <v>212200</v>
      </c>
      <c r="D32" s="34">
        <v>5</v>
      </c>
      <c r="E32" s="35" t="s">
        <v>18</v>
      </c>
      <c r="F32" s="14">
        <v>15200</v>
      </c>
    </row>
    <row r="33" spans="1:10" ht="26.4" x14ac:dyDescent="0.65">
      <c r="A33" s="45">
        <v>212300</v>
      </c>
      <c r="B33" s="11" t="s">
        <v>26</v>
      </c>
      <c r="C33" s="45">
        <v>212000</v>
      </c>
      <c r="D33" s="32">
        <v>4</v>
      </c>
      <c r="E33" s="33" t="s">
        <v>16</v>
      </c>
      <c r="F33" s="15">
        <f>SUM(F34:F42)</f>
        <v>1798910</v>
      </c>
      <c r="H33" s="60"/>
    </row>
    <row r="34" spans="1:10" x14ac:dyDescent="0.65">
      <c r="A34" s="46">
        <v>212301</v>
      </c>
      <c r="B34" s="13" t="s">
        <v>113</v>
      </c>
      <c r="C34" s="46">
        <v>212300</v>
      </c>
      <c r="D34" s="34">
        <v>5</v>
      </c>
      <c r="E34" s="35" t="s">
        <v>18</v>
      </c>
      <c r="F34" s="16">
        <v>600000</v>
      </c>
      <c r="H34" s="60"/>
    </row>
    <row r="35" spans="1:10" x14ac:dyDescent="0.65">
      <c r="A35" s="46">
        <v>212302</v>
      </c>
      <c r="B35" s="13" t="s">
        <v>114</v>
      </c>
      <c r="C35" s="46">
        <v>212300</v>
      </c>
      <c r="D35" s="34">
        <v>5</v>
      </c>
      <c r="E35" s="35" t="s">
        <v>18</v>
      </c>
      <c r="F35" s="16">
        <v>500800</v>
      </c>
      <c r="H35" s="60"/>
    </row>
    <row r="36" spans="1:10" x14ac:dyDescent="0.65">
      <c r="A36" s="46">
        <v>212303</v>
      </c>
      <c r="B36" s="13" t="s">
        <v>33</v>
      </c>
      <c r="C36" s="46">
        <v>212300</v>
      </c>
      <c r="D36" s="34">
        <v>5</v>
      </c>
      <c r="E36" s="35" t="s">
        <v>18</v>
      </c>
      <c r="F36" s="16">
        <v>68110</v>
      </c>
      <c r="H36" s="60"/>
    </row>
    <row r="37" spans="1:10" x14ac:dyDescent="0.65">
      <c r="A37" s="46">
        <v>212304</v>
      </c>
      <c r="B37" s="13" t="s">
        <v>115</v>
      </c>
      <c r="C37" s="46">
        <v>212300</v>
      </c>
      <c r="D37" s="34">
        <v>5</v>
      </c>
      <c r="E37" s="35" t="s">
        <v>18</v>
      </c>
      <c r="F37" s="16">
        <v>60000</v>
      </c>
      <c r="H37" s="60"/>
    </row>
    <row r="38" spans="1:10" x14ac:dyDescent="0.65">
      <c r="A38" s="46">
        <v>212305</v>
      </c>
      <c r="B38" s="13" t="s">
        <v>34</v>
      </c>
      <c r="C38" s="46">
        <v>212300</v>
      </c>
      <c r="D38" s="34">
        <v>5</v>
      </c>
      <c r="E38" s="35" t="s">
        <v>18</v>
      </c>
      <c r="F38" s="16">
        <v>135000</v>
      </c>
      <c r="H38" s="60"/>
    </row>
    <row r="39" spans="1:10" x14ac:dyDescent="0.65">
      <c r="A39" s="46">
        <v>212306</v>
      </c>
      <c r="B39" s="13" t="s">
        <v>35</v>
      </c>
      <c r="C39" s="46">
        <v>212300</v>
      </c>
      <c r="D39" s="34">
        <v>5</v>
      </c>
      <c r="E39" s="35" t="s">
        <v>18</v>
      </c>
      <c r="F39" s="16">
        <v>240000</v>
      </c>
      <c r="H39" s="60"/>
    </row>
    <row r="40" spans="1:10" x14ac:dyDescent="0.65">
      <c r="A40" s="46">
        <v>212307</v>
      </c>
      <c r="B40" s="13" t="s">
        <v>36</v>
      </c>
      <c r="C40" s="46">
        <v>212300</v>
      </c>
      <c r="D40" s="34">
        <v>5</v>
      </c>
      <c r="E40" s="35" t="s">
        <v>18</v>
      </c>
      <c r="F40" s="16">
        <v>130000</v>
      </c>
      <c r="H40" s="60"/>
    </row>
    <row r="41" spans="1:10" x14ac:dyDescent="0.65">
      <c r="A41" s="46">
        <v>212308</v>
      </c>
      <c r="B41" s="13" t="s">
        <v>116</v>
      </c>
      <c r="C41" s="46">
        <v>212300</v>
      </c>
      <c r="D41" s="34">
        <v>5</v>
      </c>
      <c r="E41" s="35" t="s">
        <v>18</v>
      </c>
      <c r="F41" s="16">
        <v>20000</v>
      </c>
      <c r="H41" s="60"/>
    </row>
    <row r="42" spans="1:10" x14ac:dyDescent="0.65">
      <c r="A42" s="46">
        <v>212309</v>
      </c>
      <c r="B42" s="13" t="s">
        <v>37</v>
      </c>
      <c r="C42" s="46">
        <v>212300</v>
      </c>
      <c r="D42" s="34">
        <v>5</v>
      </c>
      <c r="E42" s="35" t="s">
        <v>18</v>
      </c>
      <c r="F42" s="16">
        <v>45000</v>
      </c>
      <c r="H42" s="60"/>
    </row>
    <row r="43" spans="1:10" ht="26.4" x14ac:dyDescent="0.65">
      <c r="A43" s="46">
        <v>212400</v>
      </c>
      <c r="B43" s="13" t="s">
        <v>38</v>
      </c>
      <c r="C43" s="46">
        <v>212000</v>
      </c>
      <c r="D43" s="34">
        <v>4</v>
      </c>
      <c r="E43" s="35" t="s">
        <v>16</v>
      </c>
      <c r="F43" s="17">
        <f>SUM(F44:F46)</f>
        <v>9149800</v>
      </c>
      <c r="G43" s="55"/>
      <c r="H43" s="60"/>
    </row>
    <row r="44" spans="1:10" x14ac:dyDescent="0.65">
      <c r="A44" s="47">
        <v>212401</v>
      </c>
      <c r="B44" s="18" t="s">
        <v>39</v>
      </c>
      <c r="C44" s="47">
        <v>212400</v>
      </c>
      <c r="D44" s="36">
        <v>5</v>
      </c>
      <c r="E44" s="37" t="s">
        <v>18</v>
      </c>
      <c r="F44" s="19">
        <v>9000000</v>
      </c>
      <c r="G44" s="55"/>
      <c r="H44" s="60"/>
      <c r="I44" s="55"/>
      <c r="J44" s="3"/>
    </row>
    <row r="45" spans="1:10" x14ac:dyDescent="0.65">
      <c r="A45" s="47">
        <v>212402</v>
      </c>
      <c r="B45" s="18" t="s">
        <v>1</v>
      </c>
      <c r="C45" s="47">
        <v>212400</v>
      </c>
      <c r="D45" s="36">
        <v>5</v>
      </c>
      <c r="E45" s="37" t="s">
        <v>18</v>
      </c>
      <c r="F45" s="19">
        <v>89400</v>
      </c>
      <c r="H45" s="60"/>
      <c r="J45" s="3"/>
    </row>
    <row r="46" spans="1:10" x14ac:dyDescent="0.65">
      <c r="A46" s="47">
        <v>212403</v>
      </c>
      <c r="B46" s="18" t="s">
        <v>8</v>
      </c>
      <c r="C46" s="47">
        <v>212400</v>
      </c>
      <c r="D46" s="36">
        <v>5</v>
      </c>
      <c r="E46" s="37" t="s">
        <v>18</v>
      </c>
      <c r="F46" s="19">
        <v>60400</v>
      </c>
      <c r="H46" s="60"/>
      <c r="J46" s="3"/>
    </row>
    <row r="47" spans="1:10" ht="26.4" x14ac:dyDescent="0.65">
      <c r="A47" s="46">
        <v>212500</v>
      </c>
      <c r="B47" s="13" t="s">
        <v>40</v>
      </c>
      <c r="C47" s="46">
        <v>212000</v>
      </c>
      <c r="D47" s="34">
        <v>4</v>
      </c>
      <c r="E47" s="35" t="s">
        <v>16</v>
      </c>
      <c r="F47" s="17">
        <f>+F48+F49</f>
        <v>33105600</v>
      </c>
      <c r="G47" s="55"/>
      <c r="H47" s="60"/>
    </row>
    <row r="48" spans="1:10" x14ac:dyDescent="0.65">
      <c r="A48" s="47">
        <v>212501</v>
      </c>
      <c r="B48" s="18" t="s">
        <v>39</v>
      </c>
      <c r="C48" s="47">
        <v>212500</v>
      </c>
      <c r="D48" s="36">
        <v>5</v>
      </c>
      <c r="E48" s="37" t="s">
        <v>18</v>
      </c>
      <c r="F48" s="20">
        <v>27360000</v>
      </c>
      <c r="H48" s="60"/>
      <c r="I48" s="55"/>
      <c r="J48" s="3"/>
    </row>
    <row r="49" spans="1:15" x14ac:dyDescent="0.65">
      <c r="A49" s="47">
        <v>212502</v>
      </c>
      <c r="B49" s="18" t="s">
        <v>148</v>
      </c>
      <c r="C49" s="47">
        <v>212500</v>
      </c>
      <c r="D49" s="36">
        <v>5</v>
      </c>
      <c r="E49" s="37" t="s">
        <v>18</v>
      </c>
      <c r="F49" s="20">
        <v>5745600</v>
      </c>
      <c r="H49" s="60"/>
      <c r="I49" s="55"/>
      <c r="J49" s="3"/>
    </row>
    <row r="50" spans="1:15" ht="26.4" x14ac:dyDescent="0.65">
      <c r="A50" s="46">
        <v>212600</v>
      </c>
      <c r="B50" s="13" t="s">
        <v>41</v>
      </c>
      <c r="C50" s="46">
        <v>212000</v>
      </c>
      <c r="D50" s="34">
        <v>4</v>
      </c>
      <c r="E50" s="35" t="s">
        <v>16</v>
      </c>
      <c r="F50" s="17">
        <f>SUM(F51:F58)</f>
        <v>6382440</v>
      </c>
      <c r="G50" s="55"/>
      <c r="H50" s="60"/>
      <c r="I50" s="55"/>
      <c r="O50" s="3">
        <v>681111007</v>
      </c>
    </row>
    <row r="51" spans="1:15" x14ac:dyDescent="0.65">
      <c r="A51" s="47">
        <v>212601</v>
      </c>
      <c r="B51" s="18" t="s">
        <v>42</v>
      </c>
      <c r="C51" s="47">
        <v>212600</v>
      </c>
      <c r="D51" s="36">
        <v>5</v>
      </c>
      <c r="E51" s="37" t="s">
        <v>18</v>
      </c>
      <c r="F51" s="20">
        <v>960000</v>
      </c>
      <c r="H51" s="60"/>
      <c r="I51" s="55"/>
      <c r="J51" s="3"/>
    </row>
    <row r="52" spans="1:15" x14ac:dyDescent="0.65">
      <c r="A52" s="47">
        <v>212602</v>
      </c>
      <c r="B52" s="18" t="s">
        <v>43</v>
      </c>
      <c r="C52" s="47">
        <v>212600</v>
      </c>
      <c r="D52" s="36">
        <v>5</v>
      </c>
      <c r="E52" s="37" t="s">
        <v>18</v>
      </c>
      <c r="F52" s="20">
        <v>840000</v>
      </c>
      <c r="H52" s="60"/>
      <c r="I52" s="55"/>
      <c r="J52" s="3"/>
    </row>
    <row r="53" spans="1:15" x14ac:dyDescent="0.65">
      <c r="A53" s="47">
        <v>212603</v>
      </c>
      <c r="B53" s="18" t="s">
        <v>44</v>
      </c>
      <c r="C53" s="47">
        <v>212600</v>
      </c>
      <c r="D53" s="36">
        <v>5</v>
      </c>
      <c r="E53" s="37" t="s">
        <v>18</v>
      </c>
      <c r="F53" s="20">
        <v>720000</v>
      </c>
      <c r="H53" s="60"/>
      <c r="I53" s="55"/>
      <c r="J53" s="3"/>
    </row>
    <row r="54" spans="1:15" x14ac:dyDescent="0.65">
      <c r="A54" s="47">
        <v>212604</v>
      </c>
      <c r="B54" s="18" t="s">
        <v>45</v>
      </c>
      <c r="C54" s="47">
        <v>212600</v>
      </c>
      <c r="D54" s="36">
        <v>5</v>
      </c>
      <c r="E54" s="37" t="s">
        <v>18</v>
      </c>
      <c r="F54" s="20">
        <v>720000</v>
      </c>
      <c r="H54" s="60"/>
      <c r="J54" s="3"/>
    </row>
    <row r="55" spans="1:15" x14ac:dyDescent="0.65">
      <c r="A55" s="47">
        <v>212605</v>
      </c>
      <c r="B55" s="18" t="s">
        <v>46</v>
      </c>
      <c r="C55" s="47">
        <v>212600</v>
      </c>
      <c r="D55" s="36">
        <v>5</v>
      </c>
      <c r="E55" s="37" t="s">
        <v>18</v>
      </c>
      <c r="F55" s="20">
        <v>720000</v>
      </c>
      <c r="H55" s="60"/>
      <c r="J55" s="3"/>
    </row>
    <row r="56" spans="1:15" x14ac:dyDescent="0.65">
      <c r="A56" s="47">
        <v>212606</v>
      </c>
      <c r="B56" s="18" t="s">
        <v>47</v>
      </c>
      <c r="C56" s="47">
        <v>212600</v>
      </c>
      <c r="D56" s="36">
        <v>5</v>
      </c>
      <c r="E56" s="37" t="s">
        <v>18</v>
      </c>
      <c r="F56" s="20">
        <v>720000</v>
      </c>
      <c r="H56" s="60"/>
      <c r="J56" s="3"/>
    </row>
    <row r="57" spans="1:15" x14ac:dyDescent="0.65">
      <c r="A57" s="47">
        <v>212607</v>
      </c>
      <c r="B57" s="18" t="s">
        <v>48</v>
      </c>
      <c r="C57" s="47">
        <v>212600</v>
      </c>
      <c r="D57" s="36">
        <v>5</v>
      </c>
      <c r="E57" s="37" t="s">
        <v>18</v>
      </c>
      <c r="F57" s="20">
        <v>1680000</v>
      </c>
      <c r="H57" s="60"/>
      <c r="J57" s="3"/>
    </row>
    <row r="58" spans="1:15" x14ac:dyDescent="0.65">
      <c r="A58" s="47">
        <v>212608</v>
      </c>
      <c r="B58" s="18" t="s">
        <v>49</v>
      </c>
      <c r="C58" s="47">
        <v>212600</v>
      </c>
      <c r="D58" s="36">
        <v>5</v>
      </c>
      <c r="E58" s="37" t="s">
        <v>18</v>
      </c>
      <c r="F58" s="20">
        <v>22440</v>
      </c>
      <c r="H58" s="60"/>
      <c r="J58" s="3"/>
    </row>
    <row r="59" spans="1:15" ht="26.4" x14ac:dyDescent="0.65">
      <c r="A59" s="45">
        <v>212700</v>
      </c>
      <c r="B59" s="11" t="s">
        <v>50</v>
      </c>
      <c r="C59" s="45">
        <v>212000</v>
      </c>
      <c r="D59" s="32">
        <v>4</v>
      </c>
      <c r="E59" s="33" t="s">
        <v>18</v>
      </c>
      <c r="F59" s="12">
        <v>504000</v>
      </c>
      <c r="H59" s="60"/>
      <c r="I59" s="55"/>
    </row>
    <row r="60" spans="1:15" ht="26.4" x14ac:dyDescent="0.65">
      <c r="A60" s="46">
        <v>212800</v>
      </c>
      <c r="B60" s="13" t="s">
        <v>51</v>
      </c>
      <c r="C60" s="46">
        <v>212000</v>
      </c>
      <c r="D60" s="34">
        <v>4</v>
      </c>
      <c r="E60" s="35" t="s">
        <v>16</v>
      </c>
      <c r="F60" s="17">
        <f>SUM(F61:F63)</f>
        <v>713580</v>
      </c>
      <c r="G60" s="55"/>
      <c r="H60" s="60"/>
    </row>
    <row r="61" spans="1:15" x14ac:dyDescent="0.65">
      <c r="A61" s="47">
        <v>212810</v>
      </c>
      <c r="B61" s="18" t="s">
        <v>39</v>
      </c>
      <c r="C61" s="47">
        <v>212800</v>
      </c>
      <c r="D61" s="36">
        <v>5</v>
      </c>
      <c r="E61" s="37" t="s">
        <v>18</v>
      </c>
      <c r="F61" s="20">
        <v>612000</v>
      </c>
      <c r="H61" s="60"/>
      <c r="J61" s="3"/>
    </row>
    <row r="62" spans="1:15" x14ac:dyDescent="0.65">
      <c r="A62" s="47">
        <v>212820</v>
      </c>
      <c r="B62" s="18" t="s">
        <v>8</v>
      </c>
      <c r="C62" s="47">
        <v>212800</v>
      </c>
      <c r="D62" s="36">
        <v>5</v>
      </c>
      <c r="E62" s="37" t="s">
        <v>18</v>
      </c>
      <c r="F62" s="20">
        <v>92880</v>
      </c>
      <c r="H62" s="60"/>
      <c r="J62" s="3"/>
    </row>
    <row r="63" spans="1:15" x14ac:dyDescent="0.65">
      <c r="A63" s="47">
        <v>212830</v>
      </c>
      <c r="B63" s="18" t="s">
        <v>1</v>
      </c>
      <c r="C63" s="47">
        <v>212800</v>
      </c>
      <c r="D63" s="36">
        <v>5</v>
      </c>
      <c r="E63" s="37" t="s">
        <v>18</v>
      </c>
      <c r="F63" s="20">
        <v>8700</v>
      </c>
      <c r="H63" s="60"/>
      <c r="J63" s="3"/>
    </row>
    <row r="64" spans="1:15" ht="26.4" x14ac:dyDescent="0.65">
      <c r="A64" s="45">
        <v>212900</v>
      </c>
      <c r="B64" s="11" t="s">
        <v>52</v>
      </c>
      <c r="C64" s="45">
        <v>212000</v>
      </c>
      <c r="D64" s="32">
        <v>4</v>
      </c>
      <c r="E64" s="33" t="s">
        <v>18</v>
      </c>
      <c r="F64" s="12">
        <v>420000</v>
      </c>
      <c r="H64" s="60"/>
    </row>
    <row r="65" spans="1:10" ht="26.4" x14ac:dyDescent="0.65">
      <c r="A65" s="45">
        <v>212110</v>
      </c>
      <c r="B65" s="11" t="s">
        <v>53</v>
      </c>
      <c r="C65" s="45">
        <v>212000</v>
      </c>
      <c r="D65" s="32">
        <v>4</v>
      </c>
      <c r="E65" s="33" t="s">
        <v>18</v>
      </c>
      <c r="F65" s="12">
        <v>488940</v>
      </c>
      <c r="H65" s="60"/>
    </row>
    <row r="66" spans="1:10" ht="26.4" x14ac:dyDescent="0.65">
      <c r="A66" s="45">
        <v>212120</v>
      </c>
      <c r="B66" s="11" t="s">
        <v>54</v>
      </c>
      <c r="C66" s="45">
        <v>212000</v>
      </c>
      <c r="D66" s="32">
        <v>4</v>
      </c>
      <c r="E66" s="33" t="s">
        <v>18</v>
      </c>
      <c r="F66" s="12">
        <v>120000</v>
      </c>
      <c r="H66" s="60"/>
    </row>
    <row r="67" spans="1:10" ht="26.4" x14ac:dyDescent="0.65">
      <c r="A67" s="45">
        <v>212130</v>
      </c>
      <c r="B67" s="11" t="s">
        <v>117</v>
      </c>
      <c r="C67" s="45">
        <v>212000</v>
      </c>
      <c r="D67" s="32">
        <v>4</v>
      </c>
      <c r="E67" s="33" t="s">
        <v>18</v>
      </c>
      <c r="F67" s="12">
        <v>320000</v>
      </c>
      <c r="H67" s="60"/>
    </row>
    <row r="68" spans="1:10" ht="26.4" x14ac:dyDescent="0.65">
      <c r="A68" s="45">
        <v>212140</v>
      </c>
      <c r="B68" s="11" t="s">
        <v>118</v>
      </c>
      <c r="C68" s="45">
        <v>212000</v>
      </c>
      <c r="D68" s="32">
        <v>4</v>
      </c>
      <c r="E68" s="33" t="s">
        <v>18</v>
      </c>
      <c r="F68" s="12">
        <v>35000</v>
      </c>
      <c r="H68" s="60"/>
    </row>
    <row r="69" spans="1:10" ht="26.4" x14ac:dyDescent="0.65">
      <c r="A69" s="45">
        <v>212150</v>
      </c>
      <c r="B69" s="11" t="s">
        <v>28</v>
      </c>
      <c r="C69" s="45">
        <v>212000</v>
      </c>
      <c r="D69" s="32">
        <v>4</v>
      </c>
      <c r="E69" s="33" t="s">
        <v>18</v>
      </c>
      <c r="F69" s="12">
        <v>100000</v>
      </c>
    </row>
    <row r="70" spans="1:10" ht="26.4" x14ac:dyDescent="0.65">
      <c r="A70" s="45">
        <v>212160</v>
      </c>
      <c r="B70" s="11" t="s">
        <v>29</v>
      </c>
      <c r="C70" s="45">
        <v>212000</v>
      </c>
      <c r="D70" s="32">
        <v>4</v>
      </c>
      <c r="E70" s="33" t="s">
        <v>18</v>
      </c>
      <c r="F70" s="12">
        <v>30000</v>
      </c>
    </row>
    <row r="71" spans="1:10" ht="26.4" x14ac:dyDescent="0.65">
      <c r="A71" s="45">
        <v>212170</v>
      </c>
      <c r="B71" s="11" t="s">
        <v>55</v>
      </c>
      <c r="C71" s="45">
        <v>212000</v>
      </c>
      <c r="D71" s="32">
        <v>4</v>
      </c>
      <c r="E71" s="33" t="s">
        <v>18</v>
      </c>
      <c r="F71" s="12">
        <v>600000</v>
      </c>
    </row>
    <row r="72" spans="1:10" ht="26.4" x14ac:dyDescent="0.65">
      <c r="A72" s="45">
        <v>212180</v>
      </c>
      <c r="B72" s="11" t="s">
        <v>56</v>
      </c>
      <c r="C72" s="45">
        <v>212000</v>
      </c>
      <c r="D72" s="32">
        <v>4</v>
      </c>
      <c r="E72" s="33" t="s">
        <v>16</v>
      </c>
      <c r="F72" s="12">
        <f>+F73+F76+F77+F78+F79+F80</f>
        <v>12636690</v>
      </c>
      <c r="G72" s="63"/>
    </row>
    <row r="73" spans="1:10" x14ac:dyDescent="0.65">
      <c r="A73" s="46">
        <v>212181</v>
      </c>
      <c r="B73" s="13" t="s">
        <v>57</v>
      </c>
      <c r="C73" s="46">
        <v>212180</v>
      </c>
      <c r="D73" s="34">
        <v>5</v>
      </c>
      <c r="E73" s="35" t="s">
        <v>16</v>
      </c>
      <c r="F73" s="14">
        <f>+F74+F75</f>
        <v>543694</v>
      </c>
      <c r="G73" s="63"/>
    </row>
    <row r="74" spans="1:10" x14ac:dyDescent="0.65">
      <c r="A74" s="47">
        <v>2121811</v>
      </c>
      <c r="B74" s="18" t="s">
        <v>58</v>
      </c>
      <c r="C74" s="47">
        <v>212181</v>
      </c>
      <c r="D74" s="36">
        <v>6</v>
      </c>
      <c r="E74" s="37" t="s">
        <v>18</v>
      </c>
      <c r="F74" s="20">
        <v>540840</v>
      </c>
      <c r="G74" s="63"/>
      <c r="J74" s="3"/>
    </row>
    <row r="75" spans="1:10" x14ac:dyDescent="0.65">
      <c r="A75" s="47">
        <v>2121812</v>
      </c>
      <c r="B75" s="18" t="s">
        <v>59</v>
      </c>
      <c r="C75" s="47">
        <v>212181</v>
      </c>
      <c r="D75" s="36">
        <v>6</v>
      </c>
      <c r="E75" s="37" t="s">
        <v>18</v>
      </c>
      <c r="F75" s="20">
        <v>2854</v>
      </c>
      <c r="G75" s="63"/>
      <c r="J75" s="3"/>
    </row>
    <row r="76" spans="1:10" x14ac:dyDescent="0.65">
      <c r="A76" s="46">
        <v>212182</v>
      </c>
      <c r="B76" s="13" t="s">
        <v>60</v>
      </c>
      <c r="C76" s="46">
        <v>212180</v>
      </c>
      <c r="D76" s="34">
        <v>5</v>
      </c>
      <c r="E76" s="35" t="s">
        <v>18</v>
      </c>
      <c r="F76" s="14">
        <v>11566400</v>
      </c>
      <c r="G76" s="63"/>
    </row>
    <row r="77" spans="1:10" x14ac:dyDescent="0.65">
      <c r="A77" s="46">
        <v>212183</v>
      </c>
      <c r="B77" s="13" t="s">
        <v>61</v>
      </c>
      <c r="C77" s="46">
        <v>212180</v>
      </c>
      <c r="D77" s="34">
        <v>5</v>
      </c>
      <c r="E77" s="35" t="s">
        <v>18</v>
      </c>
      <c r="F77" s="14">
        <v>256800</v>
      </c>
      <c r="G77" s="63"/>
    </row>
    <row r="78" spans="1:10" x14ac:dyDescent="0.65">
      <c r="A78" s="46">
        <v>212184</v>
      </c>
      <c r="B78" s="13" t="s">
        <v>62</v>
      </c>
      <c r="C78" s="46">
        <v>212180</v>
      </c>
      <c r="D78" s="34">
        <v>5</v>
      </c>
      <c r="E78" s="35" t="s">
        <v>18</v>
      </c>
      <c r="F78" s="14">
        <v>128400</v>
      </c>
      <c r="G78" s="63"/>
    </row>
    <row r="79" spans="1:10" x14ac:dyDescent="0.65">
      <c r="A79" s="46">
        <v>212185</v>
      </c>
      <c r="B79" s="13" t="s">
        <v>63</v>
      </c>
      <c r="C79" s="46">
        <v>212180</v>
      </c>
      <c r="D79" s="34">
        <v>5</v>
      </c>
      <c r="E79" s="35" t="s">
        <v>18</v>
      </c>
      <c r="F79" s="14">
        <v>60000</v>
      </c>
      <c r="G79" s="63"/>
    </row>
    <row r="80" spans="1:10" x14ac:dyDescent="0.65">
      <c r="A80" s="46">
        <v>212186</v>
      </c>
      <c r="B80" s="13" t="s">
        <v>64</v>
      </c>
      <c r="C80" s="46">
        <v>212180</v>
      </c>
      <c r="D80" s="34">
        <v>5</v>
      </c>
      <c r="E80" s="35" t="s">
        <v>18</v>
      </c>
      <c r="F80" s="14">
        <v>81396</v>
      </c>
      <c r="G80" s="63"/>
    </row>
    <row r="81" spans="1:7" ht="26.4" x14ac:dyDescent="0.65">
      <c r="A81" s="45">
        <v>212190</v>
      </c>
      <c r="B81" s="11" t="s">
        <v>65</v>
      </c>
      <c r="C81" s="45">
        <v>212000</v>
      </c>
      <c r="D81" s="32">
        <v>4</v>
      </c>
      <c r="E81" s="33" t="s">
        <v>18</v>
      </c>
      <c r="F81" s="12">
        <v>285312</v>
      </c>
    </row>
    <row r="82" spans="1:7" ht="26.4" x14ac:dyDescent="0.65">
      <c r="A82" s="45">
        <v>212210</v>
      </c>
      <c r="B82" s="11" t="s">
        <v>119</v>
      </c>
      <c r="C82" s="45">
        <v>212000</v>
      </c>
      <c r="D82" s="32">
        <v>4</v>
      </c>
      <c r="E82" s="33" t="s">
        <v>18</v>
      </c>
      <c r="F82" s="12">
        <v>150000</v>
      </c>
    </row>
    <row r="83" spans="1:7" ht="26.4" x14ac:dyDescent="0.65">
      <c r="A83" s="45">
        <v>212220</v>
      </c>
      <c r="B83" s="11" t="s">
        <v>66</v>
      </c>
      <c r="C83" s="45">
        <v>212000</v>
      </c>
      <c r="D83" s="32">
        <v>4</v>
      </c>
      <c r="E83" s="33" t="s">
        <v>18</v>
      </c>
      <c r="F83" s="12">
        <v>2400</v>
      </c>
    </row>
    <row r="84" spans="1:7" ht="26.4" x14ac:dyDescent="0.65">
      <c r="A84" s="45">
        <v>212230</v>
      </c>
      <c r="B84" s="11" t="s">
        <v>67</v>
      </c>
      <c r="C84" s="45">
        <v>212000</v>
      </c>
      <c r="D84" s="32">
        <v>4</v>
      </c>
      <c r="E84" s="33" t="s">
        <v>18</v>
      </c>
      <c r="F84" s="12">
        <v>24000</v>
      </c>
    </row>
    <row r="85" spans="1:7" ht="26.4" x14ac:dyDescent="0.65">
      <c r="A85" s="45">
        <v>212240</v>
      </c>
      <c r="B85" s="11" t="s">
        <v>68</v>
      </c>
      <c r="C85" s="45">
        <v>212000</v>
      </c>
      <c r="D85" s="32">
        <v>4</v>
      </c>
      <c r="E85" s="33" t="s">
        <v>18</v>
      </c>
      <c r="F85" s="12">
        <v>749250</v>
      </c>
    </row>
    <row r="86" spans="1:7" ht="26.4" x14ac:dyDescent="0.65">
      <c r="A86" s="45">
        <v>212250</v>
      </c>
      <c r="B86" s="11" t="s">
        <v>69</v>
      </c>
      <c r="C86" s="45">
        <v>212000</v>
      </c>
      <c r="D86" s="32">
        <v>4</v>
      </c>
      <c r="E86" s="33" t="s">
        <v>18</v>
      </c>
      <c r="F86" s="12">
        <v>20000</v>
      </c>
    </row>
    <row r="87" spans="1:7" ht="26.4" x14ac:dyDescent="0.65">
      <c r="A87" s="45">
        <v>212260</v>
      </c>
      <c r="B87" s="11" t="s">
        <v>70</v>
      </c>
      <c r="C87" s="45">
        <v>212000</v>
      </c>
      <c r="D87" s="32">
        <v>4</v>
      </c>
      <c r="E87" s="33" t="s">
        <v>18</v>
      </c>
      <c r="F87" s="12">
        <v>500000</v>
      </c>
    </row>
    <row r="88" spans="1:7" ht="26.4" x14ac:dyDescent="0.65">
      <c r="A88" s="45">
        <v>212270</v>
      </c>
      <c r="B88" s="11" t="s">
        <v>71</v>
      </c>
      <c r="C88" s="45">
        <v>212000</v>
      </c>
      <c r="D88" s="32">
        <v>4</v>
      </c>
      <c r="E88" s="33" t="s">
        <v>18</v>
      </c>
      <c r="F88" s="12">
        <v>1600</v>
      </c>
    </row>
    <row r="89" spans="1:7" ht="26.4" x14ac:dyDescent="0.65">
      <c r="A89" s="45">
        <v>212280</v>
      </c>
      <c r="B89" s="11" t="s">
        <v>120</v>
      </c>
      <c r="C89" s="45">
        <v>212000</v>
      </c>
      <c r="D89" s="32">
        <v>4</v>
      </c>
      <c r="E89" s="33" t="s">
        <v>18</v>
      </c>
      <c r="F89" s="12">
        <v>1607675</v>
      </c>
    </row>
    <row r="90" spans="1:7" ht="26.4" x14ac:dyDescent="0.65">
      <c r="A90" s="45">
        <v>212290</v>
      </c>
      <c r="B90" s="11" t="s">
        <v>121</v>
      </c>
      <c r="C90" s="45">
        <v>212000</v>
      </c>
      <c r="D90" s="32">
        <v>4</v>
      </c>
      <c r="E90" s="33" t="s">
        <v>16</v>
      </c>
      <c r="F90" s="12">
        <f>+F91+F92</f>
        <v>885000</v>
      </c>
    </row>
    <row r="91" spans="1:7" x14ac:dyDescent="0.65">
      <c r="A91" s="46">
        <v>212291</v>
      </c>
      <c r="B91" s="13" t="s">
        <v>149</v>
      </c>
      <c r="C91" s="46">
        <v>212290</v>
      </c>
      <c r="D91" s="34">
        <v>5</v>
      </c>
      <c r="E91" s="35" t="s">
        <v>18</v>
      </c>
      <c r="F91" s="14">
        <v>385000</v>
      </c>
      <c r="G91" s="63"/>
    </row>
    <row r="92" spans="1:7" x14ac:dyDescent="0.65">
      <c r="A92" s="46">
        <v>212292</v>
      </c>
      <c r="B92" s="13" t="s">
        <v>150</v>
      </c>
      <c r="C92" s="46">
        <v>212290</v>
      </c>
      <c r="D92" s="34">
        <v>5</v>
      </c>
      <c r="E92" s="35" t="s">
        <v>18</v>
      </c>
      <c r="F92" s="14">
        <v>500000</v>
      </c>
      <c r="G92" s="63"/>
    </row>
    <row r="93" spans="1:7" ht="26.4" x14ac:dyDescent="0.65">
      <c r="A93" s="45">
        <v>212310</v>
      </c>
      <c r="B93" s="11" t="s">
        <v>122</v>
      </c>
      <c r="C93" s="45">
        <v>212000</v>
      </c>
      <c r="D93" s="32">
        <v>4</v>
      </c>
      <c r="E93" s="33" t="s">
        <v>18</v>
      </c>
      <c r="F93" s="12">
        <v>430000</v>
      </c>
    </row>
    <row r="94" spans="1:7" ht="26.4" x14ac:dyDescent="0.65">
      <c r="A94" s="45">
        <v>212320</v>
      </c>
      <c r="B94" s="11" t="s">
        <v>123</v>
      </c>
      <c r="C94" s="45">
        <v>212000</v>
      </c>
      <c r="D94" s="32">
        <v>4</v>
      </c>
      <c r="E94" s="33" t="s">
        <v>18</v>
      </c>
      <c r="F94" s="12">
        <v>22000</v>
      </c>
    </row>
    <row r="95" spans="1:7" ht="26.4" x14ac:dyDescent="0.65">
      <c r="A95" s="45">
        <v>212330</v>
      </c>
      <c r="B95" s="11" t="s">
        <v>124</v>
      </c>
      <c r="C95" s="45">
        <v>212000</v>
      </c>
      <c r="D95" s="32">
        <v>4</v>
      </c>
      <c r="E95" s="33" t="s">
        <v>18</v>
      </c>
      <c r="F95" s="12">
        <v>43000</v>
      </c>
    </row>
    <row r="96" spans="1:7" ht="26.4" x14ac:dyDescent="0.65">
      <c r="A96" s="45">
        <v>212340</v>
      </c>
      <c r="B96" s="11" t="s">
        <v>125</v>
      </c>
      <c r="C96" s="45">
        <v>212000</v>
      </c>
      <c r="D96" s="32">
        <v>4</v>
      </c>
      <c r="E96" s="33" t="s">
        <v>18</v>
      </c>
      <c r="F96" s="12">
        <v>82500</v>
      </c>
    </row>
    <row r="97" spans="1:10" ht="26.4" x14ac:dyDescent="0.65">
      <c r="A97" s="44">
        <v>213000</v>
      </c>
      <c r="B97" s="9" t="s">
        <v>72</v>
      </c>
      <c r="C97" s="44">
        <v>210000</v>
      </c>
      <c r="D97" s="30">
        <v>3</v>
      </c>
      <c r="E97" s="31" t="s">
        <v>16</v>
      </c>
      <c r="F97" s="10">
        <f>+F98+F99+F100+F101+F104</f>
        <v>2247260</v>
      </c>
      <c r="H97" s="3"/>
      <c r="J97" s="3"/>
    </row>
    <row r="98" spans="1:10" ht="26.4" x14ac:dyDescent="0.65">
      <c r="A98" s="45">
        <v>213100</v>
      </c>
      <c r="B98" s="11" t="s">
        <v>73</v>
      </c>
      <c r="C98" s="45">
        <v>213000</v>
      </c>
      <c r="D98" s="32">
        <v>4</v>
      </c>
      <c r="E98" s="33" t="s">
        <v>18</v>
      </c>
      <c r="F98" s="12">
        <v>700000</v>
      </c>
    </row>
    <row r="99" spans="1:10" ht="26.4" x14ac:dyDescent="0.65">
      <c r="A99" s="45">
        <v>213200</v>
      </c>
      <c r="B99" s="11" t="s">
        <v>74</v>
      </c>
      <c r="C99" s="45">
        <v>213000</v>
      </c>
      <c r="D99" s="32">
        <v>4</v>
      </c>
      <c r="E99" s="33" t="s">
        <v>18</v>
      </c>
      <c r="F99" s="12">
        <v>144000</v>
      </c>
    </row>
    <row r="100" spans="1:10" ht="26.4" x14ac:dyDescent="0.65">
      <c r="A100" s="45">
        <v>213300</v>
      </c>
      <c r="B100" s="11" t="s">
        <v>75</v>
      </c>
      <c r="C100" s="45">
        <v>213000</v>
      </c>
      <c r="D100" s="32">
        <v>4</v>
      </c>
      <c r="E100" s="33" t="s">
        <v>18</v>
      </c>
      <c r="F100" s="12">
        <v>60000</v>
      </c>
    </row>
    <row r="101" spans="1:10" ht="26.4" x14ac:dyDescent="0.65">
      <c r="A101" s="45">
        <v>213400</v>
      </c>
      <c r="B101" s="11" t="s">
        <v>76</v>
      </c>
      <c r="C101" s="45">
        <v>213000</v>
      </c>
      <c r="D101" s="32">
        <v>4</v>
      </c>
      <c r="E101" s="33" t="s">
        <v>16</v>
      </c>
      <c r="F101" s="12">
        <f>+F102+F103</f>
        <v>1313260</v>
      </c>
      <c r="G101" s="63"/>
    </row>
    <row r="102" spans="1:10" x14ac:dyDescent="0.65">
      <c r="A102" s="46">
        <v>213410</v>
      </c>
      <c r="B102" s="13" t="s">
        <v>76</v>
      </c>
      <c r="C102" s="46">
        <v>213400</v>
      </c>
      <c r="D102" s="34">
        <v>5</v>
      </c>
      <c r="E102" s="35" t="s">
        <v>18</v>
      </c>
      <c r="F102" s="14">
        <v>825000</v>
      </c>
      <c r="G102" s="64"/>
    </row>
    <row r="103" spans="1:10" x14ac:dyDescent="0.65">
      <c r="A103" s="46">
        <v>213420</v>
      </c>
      <c r="B103" s="13" t="s">
        <v>126</v>
      </c>
      <c r="C103" s="46">
        <v>213400</v>
      </c>
      <c r="D103" s="34">
        <v>5</v>
      </c>
      <c r="E103" s="35" t="s">
        <v>18</v>
      </c>
      <c r="F103" s="14">
        <v>488260</v>
      </c>
      <c r="G103" s="63"/>
    </row>
    <row r="104" spans="1:10" ht="26.4" x14ac:dyDescent="0.65">
      <c r="A104" s="45">
        <v>213500</v>
      </c>
      <c r="B104" s="11" t="s">
        <v>77</v>
      </c>
      <c r="C104" s="45">
        <v>213000</v>
      </c>
      <c r="D104" s="32">
        <v>4</v>
      </c>
      <c r="E104" s="33" t="s">
        <v>18</v>
      </c>
      <c r="F104" s="12">
        <v>30000</v>
      </c>
    </row>
    <row r="105" spans="1:10" ht="24.6" customHeight="1" x14ac:dyDescent="0.65">
      <c r="A105" s="48">
        <v>220000</v>
      </c>
      <c r="B105" s="49" t="s">
        <v>78</v>
      </c>
      <c r="C105" s="48">
        <v>200000</v>
      </c>
      <c r="D105" s="50">
        <v>2</v>
      </c>
      <c r="E105" s="51" t="s">
        <v>16</v>
      </c>
      <c r="F105" s="52">
        <f>+F106+F109+F110+F114</f>
        <v>1956300</v>
      </c>
      <c r="H105" s="3"/>
      <c r="J105" s="3"/>
    </row>
    <row r="106" spans="1:10" ht="26.4" x14ac:dyDescent="0.65">
      <c r="A106" s="44">
        <v>221000</v>
      </c>
      <c r="B106" s="9" t="s">
        <v>79</v>
      </c>
      <c r="C106" s="44">
        <v>220000</v>
      </c>
      <c r="D106" s="30">
        <v>3</v>
      </c>
      <c r="E106" s="31" t="s">
        <v>16</v>
      </c>
      <c r="F106" s="21">
        <f>+F107+F108</f>
        <v>1086000</v>
      </c>
      <c r="H106" s="3"/>
      <c r="J106" s="3"/>
    </row>
    <row r="107" spans="1:10" x14ac:dyDescent="0.65">
      <c r="A107" s="45">
        <v>221100</v>
      </c>
      <c r="B107" s="11" t="s">
        <v>60</v>
      </c>
      <c r="C107" s="45">
        <v>221000</v>
      </c>
      <c r="D107" s="32">
        <v>4</v>
      </c>
      <c r="E107" s="33" t="s">
        <v>18</v>
      </c>
      <c r="F107" s="24">
        <v>1080000</v>
      </c>
    </row>
    <row r="108" spans="1:10" x14ac:dyDescent="0.65">
      <c r="A108" s="45">
        <v>221200</v>
      </c>
      <c r="B108" s="11" t="s">
        <v>57</v>
      </c>
      <c r="C108" s="45">
        <v>221000</v>
      </c>
      <c r="D108" s="32">
        <v>4</v>
      </c>
      <c r="E108" s="33" t="s">
        <v>18</v>
      </c>
      <c r="F108" s="24">
        <v>6000</v>
      </c>
    </row>
    <row r="109" spans="1:10" ht="26.4" x14ac:dyDescent="0.65">
      <c r="A109" s="44">
        <v>222000</v>
      </c>
      <c r="B109" s="9" t="s">
        <v>80</v>
      </c>
      <c r="C109" s="44">
        <v>220000</v>
      </c>
      <c r="D109" s="30">
        <v>3</v>
      </c>
      <c r="E109" s="31" t="s">
        <v>18</v>
      </c>
      <c r="F109" s="21">
        <v>21900</v>
      </c>
      <c r="H109" s="3"/>
      <c r="J109" s="3"/>
    </row>
    <row r="110" spans="1:10" ht="26.4" x14ac:dyDescent="0.65">
      <c r="A110" s="44">
        <v>223000</v>
      </c>
      <c r="B110" s="9" t="s">
        <v>81</v>
      </c>
      <c r="C110" s="44">
        <v>220000</v>
      </c>
      <c r="D110" s="30">
        <v>3</v>
      </c>
      <c r="E110" s="31" t="s">
        <v>16</v>
      </c>
      <c r="F110" s="21">
        <f>SUM(F111:F113)</f>
        <v>548400</v>
      </c>
      <c r="H110" s="3"/>
      <c r="J110" s="3"/>
    </row>
    <row r="111" spans="1:10" x14ac:dyDescent="0.65">
      <c r="A111" s="45">
        <v>223100</v>
      </c>
      <c r="B111" s="11" t="s">
        <v>127</v>
      </c>
      <c r="C111" s="45">
        <v>223000</v>
      </c>
      <c r="D111" s="32">
        <v>4</v>
      </c>
      <c r="E111" s="33" t="s">
        <v>18</v>
      </c>
      <c r="F111" s="24">
        <v>120000</v>
      </c>
    </row>
    <row r="112" spans="1:10" x14ac:dyDescent="0.65">
      <c r="A112" s="45">
        <v>223200</v>
      </c>
      <c r="B112" s="11" t="s">
        <v>110</v>
      </c>
      <c r="C112" s="45">
        <v>223000</v>
      </c>
      <c r="D112" s="32">
        <v>4</v>
      </c>
      <c r="E112" s="33" t="s">
        <v>18</v>
      </c>
      <c r="F112" s="24">
        <v>92400</v>
      </c>
    </row>
    <row r="113" spans="1:10" x14ac:dyDescent="0.65">
      <c r="A113" s="45">
        <v>223300</v>
      </c>
      <c r="B113" s="11" t="s">
        <v>82</v>
      </c>
      <c r="C113" s="45">
        <v>223000</v>
      </c>
      <c r="D113" s="32">
        <v>4</v>
      </c>
      <c r="E113" s="33" t="s">
        <v>18</v>
      </c>
      <c r="F113" s="24">
        <v>336000</v>
      </c>
    </row>
    <row r="114" spans="1:10" ht="26.4" x14ac:dyDescent="0.65">
      <c r="A114" s="44">
        <v>224000</v>
      </c>
      <c r="B114" s="9" t="s">
        <v>83</v>
      </c>
      <c r="C114" s="44">
        <v>220000</v>
      </c>
      <c r="D114" s="30">
        <v>3</v>
      </c>
      <c r="E114" s="31" t="s">
        <v>18</v>
      </c>
      <c r="F114" s="21">
        <v>300000</v>
      </c>
      <c r="H114" s="3"/>
      <c r="J114" s="3"/>
    </row>
    <row r="115" spans="1:10" ht="26.4" x14ac:dyDescent="0.65">
      <c r="A115" s="48">
        <v>230000</v>
      </c>
      <c r="B115" s="49" t="s">
        <v>84</v>
      </c>
      <c r="C115" s="48">
        <v>200000</v>
      </c>
      <c r="D115" s="50">
        <v>2</v>
      </c>
      <c r="E115" s="51" t="s">
        <v>16</v>
      </c>
      <c r="F115" s="53">
        <f>+F116+F117</f>
        <v>7066890</v>
      </c>
      <c r="H115" s="3"/>
      <c r="J115" s="3"/>
    </row>
    <row r="116" spans="1:10" ht="51.6" x14ac:dyDescent="0.65">
      <c r="A116" s="44">
        <v>231000</v>
      </c>
      <c r="B116" s="59" t="s">
        <v>128</v>
      </c>
      <c r="C116" s="44">
        <v>230000</v>
      </c>
      <c r="D116" s="30">
        <v>3</v>
      </c>
      <c r="E116" s="31" t="s">
        <v>18</v>
      </c>
      <c r="F116" s="21">
        <v>1066890</v>
      </c>
      <c r="H116" s="3"/>
      <c r="J116" s="3"/>
    </row>
    <row r="117" spans="1:10" ht="51.6" x14ac:dyDescent="0.65">
      <c r="A117" s="44">
        <v>232000</v>
      </c>
      <c r="B117" s="59" t="s">
        <v>129</v>
      </c>
      <c r="C117" s="44">
        <v>230000</v>
      </c>
      <c r="D117" s="30">
        <v>3</v>
      </c>
      <c r="E117" s="31" t="s">
        <v>18</v>
      </c>
      <c r="F117" s="21">
        <v>6000000</v>
      </c>
      <c r="H117" s="3"/>
      <c r="J117" s="3"/>
    </row>
    <row r="118" spans="1:10" ht="26.4" x14ac:dyDescent="0.65">
      <c r="A118" s="43">
        <v>300000</v>
      </c>
      <c r="B118" s="1" t="s">
        <v>85</v>
      </c>
      <c r="C118" s="43"/>
      <c r="D118" s="29">
        <v>1</v>
      </c>
      <c r="E118" s="38" t="s">
        <v>16</v>
      </c>
      <c r="F118" s="22">
        <f>+F119</f>
        <v>14118500</v>
      </c>
      <c r="H118" s="3"/>
      <c r="J118" s="3"/>
    </row>
    <row r="119" spans="1:10" ht="26.4" x14ac:dyDescent="0.65">
      <c r="A119" s="42">
        <v>310000</v>
      </c>
      <c r="B119" s="4" t="s">
        <v>86</v>
      </c>
      <c r="C119" s="42">
        <v>300000</v>
      </c>
      <c r="D119" s="27">
        <v>2</v>
      </c>
      <c r="E119" s="39" t="s">
        <v>16</v>
      </c>
      <c r="F119" s="23">
        <f>+F120+F121+F122+F123+F124+F125+F126+F127+F128</f>
        <v>14118500</v>
      </c>
      <c r="H119" s="3"/>
      <c r="J119" s="3"/>
    </row>
    <row r="120" spans="1:10" ht="77.400000000000006" x14ac:dyDescent="0.65">
      <c r="A120" s="44">
        <v>311000</v>
      </c>
      <c r="B120" s="59" t="s">
        <v>130</v>
      </c>
      <c r="C120" s="44">
        <v>310000</v>
      </c>
      <c r="D120" s="30">
        <v>3</v>
      </c>
      <c r="E120" s="31" t="s">
        <v>18</v>
      </c>
      <c r="F120" s="21">
        <v>1700000</v>
      </c>
      <c r="H120" s="3"/>
      <c r="J120" s="3"/>
    </row>
    <row r="121" spans="1:10" ht="26.4" x14ac:dyDescent="0.65">
      <c r="A121" s="44">
        <v>312000</v>
      </c>
      <c r="B121" s="9" t="s">
        <v>131</v>
      </c>
      <c r="C121" s="44">
        <v>310000</v>
      </c>
      <c r="D121" s="30">
        <v>3</v>
      </c>
      <c r="E121" s="31" t="s">
        <v>18</v>
      </c>
      <c r="F121" s="21">
        <v>35000</v>
      </c>
      <c r="H121" s="3"/>
      <c r="J121" s="3"/>
    </row>
    <row r="122" spans="1:10" ht="26.4" x14ac:dyDescent="0.65">
      <c r="A122" s="44">
        <v>313000</v>
      </c>
      <c r="B122" s="9" t="s">
        <v>108</v>
      </c>
      <c r="C122" s="44">
        <v>310000</v>
      </c>
      <c r="D122" s="30">
        <v>3</v>
      </c>
      <c r="E122" s="31" t="s">
        <v>18</v>
      </c>
      <c r="F122" s="21">
        <v>50400</v>
      </c>
      <c r="H122" s="3"/>
      <c r="J122" s="3"/>
    </row>
    <row r="123" spans="1:10" ht="26.4" x14ac:dyDescent="0.65">
      <c r="A123" s="44">
        <v>314000</v>
      </c>
      <c r="B123" s="9" t="s">
        <v>132</v>
      </c>
      <c r="C123" s="44">
        <v>310000</v>
      </c>
      <c r="D123" s="30">
        <v>3</v>
      </c>
      <c r="E123" s="31" t="s">
        <v>18</v>
      </c>
      <c r="F123" s="21">
        <v>3300000</v>
      </c>
      <c r="H123" s="3"/>
      <c r="J123" s="3"/>
    </row>
    <row r="124" spans="1:10" ht="26.4" x14ac:dyDescent="0.65">
      <c r="A124" s="44">
        <v>315000</v>
      </c>
      <c r="B124" s="9" t="s">
        <v>133</v>
      </c>
      <c r="C124" s="44">
        <v>310000</v>
      </c>
      <c r="D124" s="30">
        <v>3</v>
      </c>
      <c r="E124" s="31" t="s">
        <v>18</v>
      </c>
      <c r="F124" s="21">
        <v>3900000</v>
      </c>
      <c r="H124" s="3"/>
      <c r="J124" s="3"/>
    </row>
    <row r="125" spans="1:10" ht="26.4" x14ac:dyDescent="0.65">
      <c r="A125" s="44">
        <v>316000</v>
      </c>
      <c r="B125" s="9" t="s">
        <v>134</v>
      </c>
      <c r="C125" s="44">
        <v>310000</v>
      </c>
      <c r="D125" s="30">
        <v>3</v>
      </c>
      <c r="E125" s="31" t="s">
        <v>18</v>
      </c>
      <c r="F125" s="21">
        <v>4900000</v>
      </c>
      <c r="H125" s="3"/>
      <c r="J125" s="3"/>
    </row>
    <row r="126" spans="1:10" ht="26.4" x14ac:dyDescent="0.65">
      <c r="A126" s="44">
        <v>317000</v>
      </c>
      <c r="B126" s="9" t="s">
        <v>135</v>
      </c>
      <c r="C126" s="44">
        <v>310000</v>
      </c>
      <c r="D126" s="30">
        <v>3</v>
      </c>
      <c r="E126" s="31" t="s">
        <v>18</v>
      </c>
      <c r="F126" s="21">
        <v>36000</v>
      </c>
      <c r="H126" s="3"/>
      <c r="J126" s="3"/>
    </row>
    <row r="127" spans="1:10" ht="26.4" x14ac:dyDescent="0.65">
      <c r="A127" s="44">
        <v>318000</v>
      </c>
      <c r="B127" s="9" t="s">
        <v>136</v>
      </c>
      <c r="C127" s="44">
        <v>310000</v>
      </c>
      <c r="D127" s="30">
        <v>3</v>
      </c>
      <c r="E127" s="31" t="s">
        <v>18</v>
      </c>
      <c r="F127" s="21">
        <v>89100</v>
      </c>
      <c r="H127" s="3"/>
      <c r="J127" s="3"/>
    </row>
    <row r="128" spans="1:10" ht="26.4" x14ac:dyDescent="0.65">
      <c r="A128" s="44">
        <v>319000</v>
      </c>
      <c r="B128" s="9" t="s">
        <v>137</v>
      </c>
      <c r="C128" s="44">
        <v>310000</v>
      </c>
      <c r="D128" s="30">
        <v>3</v>
      </c>
      <c r="E128" s="31" t="s">
        <v>18</v>
      </c>
      <c r="F128" s="21">
        <v>108000</v>
      </c>
      <c r="H128" s="3"/>
      <c r="J128" s="3"/>
    </row>
    <row r="130" spans="6:6" x14ac:dyDescent="0.65">
      <c r="F130" s="61"/>
    </row>
    <row r="131" spans="6:6" x14ac:dyDescent="0.65">
      <c r="F131" s="62">
        <f>+F118+F4+F2</f>
        <v>129509731</v>
      </c>
    </row>
  </sheetData>
  <autoFilter ref="D1:D131" xr:uid="{825A99EF-C0EB-464A-B883-2FAFE92F0752}"/>
  <conditionalFormatting sqref="A1:A1048576">
    <cfRule type="duplicateValues" dxfId="7" priority="1"/>
    <cfRule type="duplicateValues" dxfId="6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20271-47D1-49ED-A6EB-9041FAB26BA3}">
  <dimension ref="A1:T128"/>
  <sheetViews>
    <sheetView workbookViewId="0">
      <selection activeCell="B2" sqref="B2"/>
    </sheetView>
  </sheetViews>
  <sheetFormatPr defaultRowHeight="13.8" x14ac:dyDescent="0.25"/>
  <cols>
    <col min="1" max="1" width="5.69921875" bestFit="1" customWidth="1"/>
    <col min="2" max="2" width="11.09765625" bestFit="1" customWidth="1"/>
    <col min="3" max="3" width="40.19921875" customWidth="1"/>
    <col min="4" max="4" width="10.3984375" bestFit="1" customWidth="1"/>
    <col min="5" max="5" width="7.19921875" customWidth="1"/>
    <col min="6" max="6" width="5.59765625" bestFit="1" customWidth="1"/>
    <col min="7" max="7" width="13.5" bestFit="1" customWidth="1"/>
    <col min="8" max="8" width="6.69921875" bestFit="1" customWidth="1"/>
    <col min="9" max="9" width="7.09765625" bestFit="1" customWidth="1"/>
    <col min="10" max="10" width="8.8984375" bestFit="1" customWidth="1"/>
    <col min="11" max="11" width="8.69921875" bestFit="1" customWidth="1"/>
    <col min="12" max="12" width="7" bestFit="1" customWidth="1"/>
    <col min="13" max="13" width="7.69921875" bestFit="1" customWidth="1"/>
    <col min="14" max="14" width="5.59765625" bestFit="1" customWidth="1"/>
    <col min="15" max="15" width="4.3984375" bestFit="1" customWidth="1"/>
    <col min="16" max="16" width="4.09765625" bestFit="1" customWidth="1"/>
    <col min="17" max="17" width="4.59765625" bestFit="1" customWidth="1"/>
    <col min="18" max="18" width="4" bestFit="1" customWidth="1"/>
    <col min="19" max="19" width="6.3984375" bestFit="1" customWidth="1"/>
    <col min="20" max="20" width="9.19921875" bestFit="1" customWidth="1"/>
  </cols>
  <sheetData>
    <row r="1" spans="1:20" x14ac:dyDescent="0.25">
      <c r="A1" t="s">
        <v>93</v>
      </c>
      <c r="B1" t="s">
        <v>87</v>
      </c>
      <c r="C1" t="s">
        <v>94</v>
      </c>
      <c r="D1" t="s">
        <v>88</v>
      </c>
      <c r="E1" t="s">
        <v>89</v>
      </c>
      <c r="F1" t="s">
        <v>90</v>
      </c>
      <c r="G1" t="s">
        <v>91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</row>
    <row r="2" spans="1:20" x14ac:dyDescent="0.25">
      <c r="A2">
        <v>1</v>
      </c>
      <c r="B2">
        <v>100000</v>
      </c>
      <c r="C2" t="s">
        <v>30</v>
      </c>
      <c r="E2">
        <v>1</v>
      </c>
      <c r="F2" t="s">
        <v>16</v>
      </c>
      <c r="G2" s="56">
        <v>30658649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2</v>
      </c>
      <c r="B3">
        <v>110000</v>
      </c>
      <c r="C3" t="s">
        <v>31</v>
      </c>
      <c r="D3">
        <v>100000</v>
      </c>
      <c r="E3">
        <v>2</v>
      </c>
      <c r="F3" t="s">
        <v>16</v>
      </c>
      <c r="G3" s="56">
        <v>30658649</v>
      </c>
      <c r="H3" t="s">
        <v>109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>
        <v>3</v>
      </c>
      <c r="B4">
        <v>200000</v>
      </c>
      <c r="C4" t="s">
        <v>15</v>
      </c>
      <c r="E4">
        <v>1</v>
      </c>
      <c r="F4" t="s">
        <v>16</v>
      </c>
      <c r="G4" s="56">
        <v>84732582</v>
      </c>
      <c r="H4" t="s">
        <v>109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4</v>
      </c>
      <c r="B5">
        <v>210000</v>
      </c>
      <c r="C5" t="s">
        <v>17</v>
      </c>
      <c r="D5">
        <v>200000</v>
      </c>
      <c r="E5">
        <v>2</v>
      </c>
      <c r="F5" t="s">
        <v>16</v>
      </c>
      <c r="G5" s="56">
        <v>75709392</v>
      </c>
      <c r="H5" t="s">
        <v>109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>
        <v>5</v>
      </c>
      <c r="B6">
        <v>211000</v>
      </c>
      <c r="C6" t="s">
        <v>0</v>
      </c>
      <c r="D6">
        <v>210000</v>
      </c>
      <c r="E6">
        <v>3</v>
      </c>
      <c r="F6" t="s">
        <v>16</v>
      </c>
      <c r="G6" s="56">
        <v>1306000</v>
      </c>
      <c r="H6" t="s">
        <v>109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>
        <v>6</v>
      </c>
      <c r="B7">
        <v>211100</v>
      </c>
      <c r="C7" t="s">
        <v>1</v>
      </c>
      <c r="D7">
        <v>211000</v>
      </c>
      <c r="E7">
        <v>4</v>
      </c>
      <c r="F7" t="s">
        <v>18</v>
      </c>
      <c r="G7" s="56">
        <v>216000</v>
      </c>
      <c r="H7" t="s">
        <v>109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>
        <v>7</v>
      </c>
      <c r="B8">
        <v>211200</v>
      </c>
      <c r="C8" t="s">
        <v>2</v>
      </c>
      <c r="D8">
        <v>211000</v>
      </c>
      <c r="E8">
        <v>4</v>
      </c>
      <c r="F8" t="s">
        <v>16</v>
      </c>
      <c r="G8" s="56">
        <v>812800</v>
      </c>
      <c r="H8" t="s">
        <v>109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>
        <v>8</v>
      </c>
      <c r="B9">
        <v>211201</v>
      </c>
      <c r="C9" t="s">
        <v>3</v>
      </c>
      <c r="D9">
        <v>211200</v>
      </c>
      <c r="E9">
        <v>5</v>
      </c>
      <c r="F9" t="s">
        <v>18</v>
      </c>
      <c r="G9" s="56">
        <v>158400</v>
      </c>
      <c r="H9" t="s">
        <v>109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>
        <v>9</v>
      </c>
      <c r="B10">
        <v>211202</v>
      </c>
      <c r="C10" t="s">
        <v>4</v>
      </c>
      <c r="D10">
        <v>211200</v>
      </c>
      <c r="E10">
        <v>5</v>
      </c>
      <c r="F10" t="s">
        <v>18</v>
      </c>
      <c r="G10" s="56">
        <v>194400</v>
      </c>
      <c r="H10" t="s">
        <v>109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>
        <v>10</v>
      </c>
      <c r="B11">
        <v>211203</v>
      </c>
      <c r="C11" t="s">
        <v>92</v>
      </c>
      <c r="D11">
        <v>211200</v>
      </c>
      <c r="E11">
        <v>5</v>
      </c>
      <c r="F11" t="s">
        <v>18</v>
      </c>
      <c r="G11" s="56">
        <v>196000</v>
      </c>
      <c r="H11" t="s">
        <v>109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>
        <v>11</v>
      </c>
      <c r="B12">
        <v>211204</v>
      </c>
      <c r="C12" t="s">
        <v>5</v>
      </c>
      <c r="D12">
        <v>211200</v>
      </c>
      <c r="E12">
        <v>5</v>
      </c>
      <c r="F12" t="s">
        <v>18</v>
      </c>
      <c r="G12" s="56">
        <v>196800</v>
      </c>
      <c r="H12" t="s">
        <v>109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>
        <v>12</v>
      </c>
      <c r="B13">
        <v>211205</v>
      </c>
      <c r="C13" t="s">
        <v>6</v>
      </c>
      <c r="D13">
        <v>211200</v>
      </c>
      <c r="E13">
        <v>5</v>
      </c>
      <c r="F13" t="s">
        <v>18</v>
      </c>
      <c r="G13" s="56">
        <v>67200</v>
      </c>
      <c r="H13" t="s">
        <v>109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>
        <v>13</v>
      </c>
      <c r="B14">
        <v>211300</v>
      </c>
      <c r="C14" t="s">
        <v>32</v>
      </c>
      <c r="D14">
        <v>211000</v>
      </c>
      <c r="E14">
        <v>4</v>
      </c>
      <c r="F14" t="s">
        <v>18</v>
      </c>
      <c r="G14" s="56">
        <v>277200</v>
      </c>
      <c r="H14" t="s">
        <v>109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>
        <v>14</v>
      </c>
      <c r="B15">
        <v>212000</v>
      </c>
      <c r="C15" t="s">
        <v>7</v>
      </c>
      <c r="D15">
        <v>210000</v>
      </c>
      <c r="E15">
        <v>3</v>
      </c>
      <c r="F15" t="s">
        <v>16</v>
      </c>
      <c r="G15" s="56">
        <v>72156132</v>
      </c>
      <c r="H15" t="s">
        <v>109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>
        <v>15</v>
      </c>
      <c r="B16">
        <v>212100</v>
      </c>
      <c r="C16" t="s">
        <v>8</v>
      </c>
      <c r="D16">
        <v>212000</v>
      </c>
      <c r="E16">
        <v>4</v>
      </c>
      <c r="F16" t="s">
        <v>16</v>
      </c>
      <c r="G16" s="56">
        <v>739260</v>
      </c>
      <c r="H16" t="s">
        <v>109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>
        <v>16</v>
      </c>
      <c r="B17">
        <v>212101</v>
      </c>
      <c r="C17" t="s">
        <v>14</v>
      </c>
      <c r="D17">
        <v>212100</v>
      </c>
      <c r="E17">
        <v>5</v>
      </c>
      <c r="F17" t="s">
        <v>18</v>
      </c>
      <c r="G17" s="56">
        <v>32220</v>
      </c>
      <c r="H17" t="s">
        <v>109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25">
      <c r="A18">
        <v>17</v>
      </c>
      <c r="B18">
        <v>212102</v>
      </c>
      <c r="C18" t="s">
        <v>9</v>
      </c>
      <c r="D18">
        <v>212100</v>
      </c>
      <c r="E18">
        <v>5</v>
      </c>
      <c r="F18" t="s">
        <v>18</v>
      </c>
      <c r="G18" s="56">
        <v>35360</v>
      </c>
      <c r="H18" t="s">
        <v>109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25">
      <c r="A19">
        <v>18</v>
      </c>
      <c r="B19">
        <v>212103</v>
      </c>
      <c r="C19" t="s">
        <v>10</v>
      </c>
      <c r="D19">
        <v>212100</v>
      </c>
      <c r="E19">
        <v>5</v>
      </c>
      <c r="F19" t="s">
        <v>18</v>
      </c>
      <c r="G19" s="56">
        <v>127680</v>
      </c>
      <c r="H19" t="s">
        <v>109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25">
      <c r="A20">
        <v>19</v>
      </c>
      <c r="B20">
        <v>212104</v>
      </c>
      <c r="C20" t="s">
        <v>11</v>
      </c>
      <c r="D20">
        <v>212100</v>
      </c>
      <c r="E20">
        <v>5</v>
      </c>
      <c r="F20" t="s">
        <v>18</v>
      </c>
      <c r="G20" s="56">
        <v>102900</v>
      </c>
      <c r="H20" t="s">
        <v>109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25">
      <c r="A21">
        <v>20</v>
      </c>
      <c r="B21">
        <v>212105</v>
      </c>
      <c r="C21" t="s">
        <v>12</v>
      </c>
      <c r="D21">
        <v>212100</v>
      </c>
      <c r="E21">
        <v>5</v>
      </c>
      <c r="F21" t="s">
        <v>18</v>
      </c>
      <c r="G21" s="56">
        <v>390000</v>
      </c>
      <c r="H21" t="s">
        <v>109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25">
      <c r="A22">
        <v>21</v>
      </c>
      <c r="B22">
        <v>212106</v>
      </c>
      <c r="C22" t="s">
        <v>13</v>
      </c>
      <c r="D22">
        <v>212100</v>
      </c>
      <c r="E22">
        <v>5</v>
      </c>
      <c r="F22" t="s">
        <v>18</v>
      </c>
      <c r="G22" s="56">
        <v>6440</v>
      </c>
      <c r="H22" t="s">
        <v>109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 x14ac:dyDescent="0.25">
      <c r="A23">
        <v>22</v>
      </c>
      <c r="B23">
        <v>212107</v>
      </c>
      <c r="C23" t="s">
        <v>14</v>
      </c>
      <c r="D23">
        <v>212100</v>
      </c>
      <c r="E23">
        <v>5</v>
      </c>
      <c r="F23" t="s">
        <v>18</v>
      </c>
      <c r="G23" s="56">
        <v>44660</v>
      </c>
      <c r="H23" t="s">
        <v>109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x14ac:dyDescent="0.25">
      <c r="A24">
        <v>23</v>
      </c>
      <c r="B24">
        <v>212200</v>
      </c>
      <c r="C24" t="s">
        <v>19</v>
      </c>
      <c r="D24">
        <v>212000</v>
      </c>
      <c r="E24">
        <v>4</v>
      </c>
      <c r="F24" t="s">
        <v>16</v>
      </c>
      <c r="G24" s="56">
        <v>209175</v>
      </c>
      <c r="H24" t="s">
        <v>109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x14ac:dyDescent="0.25">
      <c r="A25">
        <v>24</v>
      </c>
      <c r="B25">
        <v>212201</v>
      </c>
      <c r="C25" t="s">
        <v>20</v>
      </c>
      <c r="D25">
        <v>212200</v>
      </c>
      <c r="E25">
        <v>5</v>
      </c>
      <c r="F25" t="s">
        <v>18</v>
      </c>
      <c r="G25" s="56">
        <v>22200</v>
      </c>
      <c r="H25" t="s">
        <v>109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25">
      <c r="A26">
        <v>25</v>
      </c>
      <c r="B26">
        <v>212202</v>
      </c>
      <c r="C26" t="s">
        <v>21</v>
      </c>
      <c r="D26">
        <v>212200</v>
      </c>
      <c r="E26">
        <v>5</v>
      </c>
      <c r="F26" t="s">
        <v>18</v>
      </c>
      <c r="G26" s="56">
        <v>19800</v>
      </c>
      <c r="H26" t="s">
        <v>109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25">
      <c r="A27">
        <v>26</v>
      </c>
      <c r="B27">
        <v>212203</v>
      </c>
      <c r="C27" t="s">
        <v>22</v>
      </c>
      <c r="D27">
        <v>212200</v>
      </c>
      <c r="E27">
        <v>5</v>
      </c>
      <c r="F27" t="s">
        <v>18</v>
      </c>
      <c r="G27" s="56">
        <v>18600</v>
      </c>
      <c r="H27" t="s">
        <v>109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 x14ac:dyDescent="0.25">
      <c r="A28">
        <v>27</v>
      </c>
      <c r="B28">
        <v>212204</v>
      </c>
      <c r="C28" t="s">
        <v>23</v>
      </c>
      <c r="D28">
        <v>212200</v>
      </c>
      <c r="E28">
        <v>5</v>
      </c>
      <c r="F28" t="s">
        <v>18</v>
      </c>
      <c r="G28" s="56">
        <v>57000</v>
      </c>
      <c r="H28" t="s">
        <v>109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x14ac:dyDescent="0.25">
      <c r="A29">
        <v>28</v>
      </c>
      <c r="B29">
        <v>212205</v>
      </c>
      <c r="C29" t="s">
        <v>111</v>
      </c>
      <c r="D29">
        <v>212200</v>
      </c>
      <c r="E29">
        <v>5</v>
      </c>
      <c r="F29" t="s">
        <v>18</v>
      </c>
      <c r="G29" s="56">
        <v>34875</v>
      </c>
      <c r="H29" t="s">
        <v>109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 x14ac:dyDescent="0.25">
      <c r="A30">
        <v>29</v>
      </c>
      <c r="B30">
        <v>212206</v>
      </c>
      <c r="C30" t="s">
        <v>24</v>
      </c>
      <c r="D30">
        <v>212200</v>
      </c>
      <c r="E30">
        <v>5</v>
      </c>
      <c r="F30" t="s">
        <v>18</v>
      </c>
      <c r="G30" s="56">
        <v>10500</v>
      </c>
      <c r="H30" t="s">
        <v>109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x14ac:dyDescent="0.25">
      <c r="A31">
        <v>30</v>
      </c>
      <c r="B31">
        <v>212207</v>
      </c>
      <c r="C31" t="s">
        <v>112</v>
      </c>
      <c r="D31">
        <v>212200</v>
      </c>
      <c r="E31">
        <v>5</v>
      </c>
      <c r="F31" t="s">
        <v>18</v>
      </c>
      <c r="G31" s="56">
        <v>31000</v>
      </c>
      <c r="H31" t="s">
        <v>109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x14ac:dyDescent="0.25">
      <c r="A32">
        <v>31</v>
      </c>
      <c r="B32">
        <v>212208</v>
      </c>
      <c r="C32" t="s">
        <v>25</v>
      </c>
      <c r="D32">
        <v>212200</v>
      </c>
      <c r="E32">
        <v>5</v>
      </c>
      <c r="F32" t="s">
        <v>18</v>
      </c>
      <c r="G32" s="56">
        <v>15200</v>
      </c>
      <c r="H32" t="s">
        <v>109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x14ac:dyDescent="0.25">
      <c r="A33">
        <v>32</v>
      </c>
      <c r="B33">
        <v>212300</v>
      </c>
      <c r="C33" t="s">
        <v>26</v>
      </c>
      <c r="D33">
        <v>212000</v>
      </c>
      <c r="E33">
        <v>4</v>
      </c>
      <c r="F33" t="s">
        <v>16</v>
      </c>
      <c r="G33" s="56">
        <v>1798910</v>
      </c>
      <c r="H33" t="s">
        <v>109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 x14ac:dyDescent="0.25">
      <c r="A34">
        <v>33</v>
      </c>
      <c r="B34">
        <v>212301</v>
      </c>
      <c r="C34" t="s">
        <v>113</v>
      </c>
      <c r="D34">
        <v>212300</v>
      </c>
      <c r="E34">
        <v>5</v>
      </c>
      <c r="F34" t="s">
        <v>18</v>
      </c>
      <c r="G34" s="56">
        <v>600000</v>
      </c>
      <c r="H34" t="s">
        <v>109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 x14ac:dyDescent="0.25">
      <c r="A35">
        <v>34</v>
      </c>
      <c r="B35">
        <v>212302</v>
      </c>
      <c r="C35" t="s">
        <v>114</v>
      </c>
      <c r="D35">
        <v>212300</v>
      </c>
      <c r="E35">
        <v>5</v>
      </c>
      <c r="F35" t="s">
        <v>18</v>
      </c>
      <c r="G35" s="56">
        <v>500800</v>
      </c>
      <c r="H35" t="s">
        <v>109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 x14ac:dyDescent="0.25">
      <c r="A36">
        <v>35</v>
      </c>
      <c r="B36">
        <v>212303</v>
      </c>
      <c r="C36" t="s">
        <v>33</v>
      </c>
      <c r="D36">
        <v>212300</v>
      </c>
      <c r="E36">
        <v>5</v>
      </c>
      <c r="F36" t="s">
        <v>18</v>
      </c>
      <c r="G36" s="56">
        <v>68110</v>
      </c>
      <c r="H36" t="s">
        <v>109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x14ac:dyDescent="0.25">
      <c r="A37">
        <v>36</v>
      </c>
      <c r="B37">
        <v>212304</v>
      </c>
      <c r="C37" t="s">
        <v>115</v>
      </c>
      <c r="D37">
        <v>212300</v>
      </c>
      <c r="E37">
        <v>5</v>
      </c>
      <c r="F37" t="s">
        <v>18</v>
      </c>
      <c r="G37" s="56">
        <v>60000</v>
      </c>
      <c r="H37" t="s">
        <v>109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x14ac:dyDescent="0.25">
      <c r="A38">
        <v>37</v>
      </c>
      <c r="B38">
        <v>212305</v>
      </c>
      <c r="C38" t="s">
        <v>34</v>
      </c>
      <c r="D38">
        <v>212300</v>
      </c>
      <c r="E38">
        <v>5</v>
      </c>
      <c r="F38" t="s">
        <v>18</v>
      </c>
      <c r="G38" s="56">
        <v>135000</v>
      </c>
      <c r="H38" t="s">
        <v>109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x14ac:dyDescent="0.25">
      <c r="A39">
        <v>38</v>
      </c>
      <c r="B39">
        <v>212306</v>
      </c>
      <c r="C39" t="s">
        <v>35</v>
      </c>
      <c r="D39">
        <v>212300</v>
      </c>
      <c r="E39">
        <v>5</v>
      </c>
      <c r="F39" t="s">
        <v>18</v>
      </c>
      <c r="G39" s="56">
        <v>240000</v>
      </c>
      <c r="H39" t="s">
        <v>109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 x14ac:dyDescent="0.25">
      <c r="A40">
        <v>39</v>
      </c>
      <c r="B40">
        <v>212307</v>
      </c>
      <c r="C40" t="s">
        <v>36</v>
      </c>
      <c r="D40">
        <v>212300</v>
      </c>
      <c r="E40">
        <v>5</v>
      </c>
      <c r="F40" t="s">
        <v>18</v>
      </c>
      <c r="G40" s="56">
        <v>130000</v>
      </c>
      <c r="H40" t="s">
        <v>109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x14ac:dyDescent="0.25">
      <c r="A41">
        <v>40</v>
      </c>
      <c r="B41">
        <v>212308</v>
      </c>
      <c r="C41" t="s">
        <v>116</v>
      </c>
      <c r="D41">
        <v>212300</v>
      </c>
      <c r="E41">
        <v>5</v>
      </c>
      <c r="F41" t="s">
        <v>18</v>
      </c>
      <c r="G41" s="56">
        <v>20000</v>
      </c>
      <c r="H41" t="s">
        <v>109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 x14ac:dyDescent="0.25">
      <c r="A42">
        <v>41</v>
      </c>
      <c r="B42">
        <v>212309</v>
      </c>
      <c r="C42" t="s">
        <v>37</v>
      </c>
      <c r="D42">
        <v>212300</v>
      </c>
      <c r="E42">
        <v>5</v>
      </c>
      <c r="F42" t="s">
        <v>18</v>
      </c>
      <c r="G42" s="56">
        <v>45000</v>
      </c>
      <c r="H42" t="s">
        <v>109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 x14ac:dyDescent="0.25">
      <c r="A43">
        <v>42</v>
      </c>
      <c r="B43">
        <v>212400</v>
      </c>
      <c r="C43" t="s">
        <v>38</v>
      </c>
      <c r="D43">
        <v>212000</v>
      </c>
      <c r="E43">
        <v>4</v>
      </c>
      <c r="F43" t="s">
        <v>16</v>
      </c>
      <c r="G43" s="56">
        <v>9149800</v>
      </c>
      <c r="H43" t="s">
        <v>109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 x14ac:dyDescent="0.25">
      <c r="A44">
        <v>43</v>
      </c>
      <c r="B44">
        <v>212401</v>
      </c>
      <c r="C44" t="s">
        <v>39</v>
      </c>
      <c r="D44">
        <v>212400</v>
      </c>
      <c r="E44">
        <v>5</v>
      </c>
      <c r="F44" t="s">
        <v>18</v>
      </c>
      <c r="G44" s="56">
        <v>9000000</v>
      </c>
      <c r="H44" t="s">
        <v>109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x14ac:dyDescent="0.25">
      <c r="A45">
        <v>44</v>
      </c>
      <c r="B45">
        <v>212402</v>
      </c>
      <c r="C45" t="s">
        <v>1</v>
      </c>
      <c r="D45">
        <v>212400</v>
      </c>
      <c r="E45">
        <v>5</v>
      </c>
      <c r="F45" t="s">
        <v>18</v>
      </c>
      <c r="G45" s="56">
        <v>89400</v>
      </c>
      <c r="H45" t="s">
        <v>109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x14ac:dyDescent="0.25">
      <c r="A46">
        <v>45</v>
      </c>
      <c r="B46">
        <v>212403</v>
      </c>
      <c r="C46" t="s">
        <v>8</v>
      </c>
      <c r="D46">
        <v>212400</v>
      </c>
      <c r="E46">
        <v>5</v>
      </c>
      <c r="F46" t="s">
        <v>18</v>
      </c>
      <c r="G46" s="56">
        <v>60400</v>
      </c>
      <c r="H46" t="s">
        <v>109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 x14ac:dyDescent="0.25">
      <c r="A47">
        <v>46</v>
      </c>
      <c r="B47">
        <v>212500</v>
      </c>
      <c r="C47" t="s">
        <v>40</v>
      </c>
      <c r="D47">
        <v>212000</v>
      </c>
      <c r="E47">
        <v>4</v>
      </c>
      <c r="F47" t="s">
        <v>16</v>
      </c>
      <c r="G47" s="56">
        <v>33105600</v>
      </c>
      <c r="H47" t="s">
        <v>109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 x14ac:dyDescent="0.25">
      <c r="A48">
        <v>47</v>
      </c>
      <c r="B48">
        <v>212501</v>
      </c>
      <c r="C48" t="s">
        <v>39</v>
      </c>
      <c r="D48">
        <v>212500</v>
      </c>
      <c r="E48">
        <v>5</v>
      </c>
      <c r="F48" t="s">
        <v>18</v>
      </c>
      <c r="G48" s="56">
        <v>27360000</v>
      </c>
      <c r="H48" t="s">
        <v>109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 x14ac:dyDescent="0.25">
      <c r="A49">
        <v>48</v>
      </c>
      <c r="B49">
        <v>212502</v>
      </c>
      <c r="C49" t="s">
        <v>148</v>
      </c>
      <c r="D49">
        <v>212500</v>
      </c>
      <c r="E49">
        <v>5</v>
      </c>
      <c r="F49" t="s">
        <v>18</v>
      </c>
      <c r="G49" s="56">
        <v>5745600</v>
      </c>
      <c r="H49" t="s">
        <v>109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 x14ac:dyDescent="0.25">
      <c r="A50">
        <v>49</v>
      </c>
      <c r="B50">
        <v>212600</v>
      </c>
      <c r="C50" t="s">
        <v>41</v>
      </c>
      <c r="D50">
        <v>212000</v>
      </c>
      <c r="E50">
        <v>4</v>
      </c>
      <c r="F50" t="s">
        <v>16</v>
      </c>
      <c r="G50" s="56">
        <v>6382440</v>
      </c>
      <c r="H50" t="s">
        <v>109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 x14ac:dyDescent="0.25">
      <c r="A51">
        <v>50</v>
      </c>
      <c r="B51">
        <v>212601</v>
      </c>
      <c r="C51" t="s">
        <v>42</v>
      </c>
      <c r="D51">
        <v>212600</v>
      </c>
      <c r="E51">
        <v>5</v>
      </c>
      <c r="F51" t="s">
        <v>18</v>
      </c>
      <c r="G51" s="56">
        <v>960000</v>
      </c>
      <c r="H51" t="s">
        <v>109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 x14ac:dyDescent="0.25">
      <c r="A52">
        <v>51</v>
      </c>
      <c r="B52">
        <v>212602</v>
      </c>
      <c r="C52" t="s">
        <v>43</v>
      </c>
      <c r="D52">
        <v>212600</v>
      </c>
      <c r="E52">
        <v>5</v>
      </c>
      <c r="F52" t="s">
        <v>18</v>
      </c>
      <c r="G52" s="56">
        <v>840000</v>
      </c>
      <c r="H52" t="s">
        <v>109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 x14ac:dyDescent="0.25">
      <c r="A53">
        <v>52</v>
      </c>
      <c r="B53">
        <v>212603</v>
      </c>
      <c r="C53" t="s">
        <v>44</v>
      </c>
      <c r="D53">
        <v>212600</v>
      </c>
      <c r="E53">
        <v>5</v>
      </c>
      <c r="F53" t="s">
        <v>18</v>
      </c>
      <c r="G53" s="56">
        <v>720000</v>
      </c>
      <c r="H53" t="s">
        <v>109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 x14ac:dyDescent="0.25">
      <c r="A54">
        <v>53</v>
      </c>
      <c r="B54">
        <v>212604</v>
      </c>
      <c r="C54" t="s">
        <v>45</v>
      </c>
      <c r="D54">
        <v>212600</v>
      </c>
      <c r="E54">
        <v>5</v>
      </c>
      <c r="F54" t="s">
        <v>18</v>
      </c>
      <c r="G54" s="56">
        <v>720000</v>
      </c>
      <c r="H54" t="s">
        <v>109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 x14ac:dyDescent="0.25">
      <c r="A55">
        <v>54</v>
      </c>
      <c r="B55">
        <v>212605</v>
      </c>
      <c r="C55" t="s">
        <v>46</v>
      </c>
      <c r="D55">
        <v>212600</v>
      </c>
      <c r="E55">
        <v>5</v>
      </c>
      <c r="F55" t="s">
        <v>18</v>
      </c>
      <c r="G55" s="56">
        <v>720000</v>
      </c>
      <c r="H55" t="s">
        <v>109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 x14ac:dyDescent="0.25">
      <c r="A56">
        <v>55</v>
      </c>
      <c r="B56">
        <v>212606</v>
      </c>
      <c r="C56" t="s">
        <v>47</v>
      </c>
      <c r="D56">
        <v>212600</v>
      </c>
      <c r="E56">
        <v>5</v>
      </c>
      <c r="F56" t="s">
        <v>18</v>
      </c>
      <c r="G56" s="56">
        <v>720000</v>
      </c>
      <c r="H56" t="s">
        <v>109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 x14ac:dyDescent="0.25">
      <c r="A57">
        <v>56</v>
      </c>
      <c r="B57">
        <v>212607</v>
      </c>
      <c r="C57" t="s">
        <v>48</v>
      </c>
      <c r="D57">
        <v>212600</v>
      </c>
      <c r="E57">
        <v>5</v>
      </c>
      <c r="F57" t="s">
        <v>18</v>
      </c>
      <c r="G57" s="56">
        <v>1680000</v>
      </c>
      <c r="H57" t="s">
        <v>109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 x14ac:dyDescent="0.25">
      <c r="A58">
        <v>57</v>
      </c>
      <c r="B58">
        <v>212608</v>
      </c>
      <c r="C58" t="s">
        <v>49</v>
      </c>
      <c r="D58">
        <v>212600</v>
      </c>
      <c r="E58">
        <v>5</v>
      </c>
      <c r="F58" t="s">
        <v>18</v>
      </c>
      <c r="G58" s="56">
        <v>22440</v>
      </c>
      <c r="H58" t="s">
        <v>109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 x14ac:dyDescent="0.25">
      <c r="A59">
        <v>58</v>
      </c>
      <c r="B59">
        <v>212700</v>
      </c>
      <c r="C59" t="s">
        <v>50</v>
      </c>
      <c r="D59">
        <v>212000</v>
      </c>
      <c r="E59">
        <v>4</v>
      </c>
      <c r="F59" t="s">
        <v>18</v>
      </c>
      <c r="G59" s="56">
        <v>504000</v>
      </c>
      <c r="H59" t="s">
        <v>109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 x14ac:dyDescent="0.25">
      <c r="A60">
        <v>59</v>
      </c>
      <c r="B60">
        <v>212800</v>
      </c>
      <c r="C60" t="s">
        <v>51</v>
      </c>
      <c r="D60">
        <v>212000</v>
      </c>
      <c r="E60">
        <v>4</v>
      </c>
      <c r="F60" t="s">
        <v>16</v>
      </c>
      <c r="G60" s="56">
        <v>713580</v>
      </c>
      <c r="H60" t="s">
        <v>109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 x14ac:dyDescent="0.25">
      <c r="A61">
        <v>60</v>
      </c>
      <c r="B61">
        <v>212810</v>
      </c>
      <c r="C61" t="s">
        <v>39</v>
      </c>
      <c r="D61">
        <v>212800</v>
      </c>
      <c r="E61">
        <v>5</v>
      </c>
      <c r="F61" t="s">
        <v>18</v>
      </c>
      <c r="G61" s="56">
        <v>612000</v>
      </c>
      <c r="H61" t="s">
        <v>109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 x14ac:dyDescent="0.25">
      <c r="A62">
        <v>61</v>
      </c>
      <c r="B62">
        <v>212820</v>
      </c>
      <c r="C62" t="s">
        <v>8</v>
      </c>
      <c r="D62">
        <v>212800</v>
      </c>
      <c r="E62">
        <v>5</v>
      </c>
      <c r="F62" t="s">
        <v>18</v>
      </c>
      <c r="G62" s="56">
        <v>92880</v>
      </c>
      <c r="H62" t="s">
        <v>109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 x14ac:dyDescent="0.25">
      <c r="A63">
        <v>62</v>
      </c>
      <c r="B63">
        <v>212830</v>
      </c>
      <c r="C63" t="s">
        <v>1</v>
      </c>
      <c r="D63">
        <v>212800</v>
      </c>
      <c r="E63">
        <v>5</v>
      </c>
      <c r="F63" t="s">
        <v>18</v>
      </c>
      <c r="G63" s="56">
        <v>8700</v>
      </c>
      <c r="H63" t="s">
        <v>109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 x14ac:dyDescent="0.25">
      <c r="A64">
        <v>63</v>
      </c>
      <c r="B64">
        <v>212900</v>
      </c>
      <c r="C64" t="s">
        <v>52</v>
      </c>
      <c r="D64">
        <v>212000</v>
      </c>
      <c r="E64">
        <v>4</v>
      </c>
      <c r="F64" t="s">
        <v>18</v>
      </c>
      <c r="G64" s="56">
        <v>420000</v>
      </c>
      <c r="H64" t="s">
        <v>109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 x14ac:dyDescent="0.25">
      <c r="A65">
        <v>64</v>
      </c>
      <c r="B65">
        <v>212110</v>
      </c>
      <c r="C65" t="s">
        <v>53</v>
      </c>
      <c r="D65">
        <v>212000</v>
      </c>
      <c r="E65">
        <v>4</v>
      </c>
      <c r="F65" t="s">
        <v>18</v>
      </c>
      <c r="G65" s="56">
        <v>488940</v>
      </c>
      <c r="H65" t="s">
        <v>109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 spans="1:20" x14ac:dyDescent="0.25">
      <c r="A66">
        <v>65</v>
      </c>
      <c r="B66">
        <v>212120</v>
      </c>
      <c r="C66" t="s">
        <v>54</v>
      </c>
      <c r="D66">
        <v>212000</v>
      </c>
      <c r="E66">
        <v>4</v>
      </c>
      <c r="F66" t="s">
        <v>18</v>
      </c>
      <c r="G66" s="56">
        <v>120000</v>
      </c>
      <c r="H66" t="s">
        <v>109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1:20" x14ac:dyDescent="0.25">
      <c r="A67">
        <v>66</v>
      </c>
      <c r="B67">
        <v>212130</v>
      </c>
      <c r="C67" t="s">
        <v>117</v>
      </c>
      <c r="D67">
        <v>212000</v>
      </c>
      <c r="E67">
        <v>4</v>
      </c>
      <c r="F67" t="s">
        <v>18</v>
      </c>
      <c r="G67" s="56">
        <v>320000</v>
      </c>
      <c r="H67" t="s">
        <v>109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 spans="1:20" x14ac:dyDescent="0.25">
      <c r="A68">
        <v>67</v>
      </c>
      <c r="B68">
        <v>212140</v>
      </c>
      <c r="C68" t="s">
        <v>118</v>
      </c>
      <c r="D68">
        <v>212000</v>
      </c>
      <c r="E68">
        <v>4</v>
      </c>
      <c r="F68" t="s">
        <v>18</v>
      </c>
      <c r="G68" s="56">
        <v>35000</v>
      </c>
      <c r="H68" t="s">
        <v>109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 spans="1:20" x14ac:dyDescent="0.25">
      <c r="A69">
        <v>68</v>
      </c>
      <c r="B69">
        <v>212150</v>
      </c>
      <c r="C69" t="s">
        <v>28</v>
      </c>
      <c r="D69">
        <v>212000</v>
      </c>
      <c r="E69">
        <v>4</v>
      </c>
      <c r="F69" t="s">
        <v>18</v>
      </c>
      <c r="G69" s="56">
        <v>100000</v>
      </c>
      <c r="H69" t="s">
        <v>109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 spans="1:20" x14ac:dyDescent="0.25">
      <c r="A70">
        <v>69</v>
      </c>
      <c r="B70">
        <v>212160</v>
      </c>
      <c r="C70" t="s">
        <v>29</v>
      </c>
      <c r="D70">
        <v>212000</v>
      </c>
      <c r="E70">
        <v>4</v>
      </c>
      <c r="F70" t="s">
        <v>18</v>
      </c>
      <c r="G70" s="56">
        <v>30000</v>
      </c>
      <c r="H70" t="s">
        <v>109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 spans="1:20" x14ac:dyDescent="0.25">
      <c r="A71">
        <v>70</v>
      </c>
      <c r="B71">
        <v>212170</v>
      </c>
      <c r="C71" t="s">
        <v>55</v>
      </c>
      <c r="D71">
        <v>212000</v>
      </c>
      <c r="E71">
        <v>4</v>
      </c>
      <c r="F71" t="s">
        <v>18</v>
      </c>
      <c r="G71" s="56">
        <v>600000</v>
      </c>
      <c r="H71" t="s">
        <v>109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 x14ac:dyDescent="0.25">
      <c r="A72">
        <v>71</v>
      </c>
      <c r="B72">
        <v>212180</v>
      </c>
      <c r="C72" t="s">
        <v>56</v>
      </c>
      <c r="D72">
        <v>212000</v>
      </c>
      <c r="E72">
        <v>4</v>
      </c>
      <c r="F72" t="s">
        <v>16</v>
      </c>
      <c r="G72" s="56">
        <v>12636690</v>
      </c>
      <c r="H72" t="s">
        <v>109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 x14ac:dyDescent="0.25">
      <c r="A73">
        <v>72</v>
      </c>
      <c r="B73">
        <v>212181</v>
      </c>
      <c r="C73" t="s">
        <v>57</v>
      </c>
      <c r="D73">
        <v>212180</v>
      </c>
      <c r="E73">
        <v>5</v>
      </c>
      <c r="F73" t="s">
        <v>16</v>
      </c>
      <c r="G73" s="56">
        <v>543694</v>
      </c>
      <c r="H73" t="s">
        <v>109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 x14ac:dyDescent="0.25">
      <c r="A74">
        <v>73</v>
      </c>
      <c r="B74">
        <v>2121811</v>
      </c>
      <c r="C74" t="s">
        <v>58</v>
      </c>
      <c r="D74">
        <v>212181</v>
      </c>
      <c r="E74">
        <v>6</v>
      </c>
      <c r="F74" t="s">
        <v>18</v>
      </c>
      <c r="G74" s="56">
        <v>540840</v>
      </c>
      <c r="H74" t="s">
        <v>109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 x14ac:dyDescent="0.25">
      <c r="A75">
        <v>74</v>
      </c>
      <c r="B75">
        <v>2121812</v>
      </c>
      <c r="C75" t="s">
        <v>59</v>
      </c>
      <c r="D75">
        <v>212181</v>
      </c>
      <c r="E75">
        <v>6</v>
      </c>
      <c r="F75" t="s">
        <v>18</v>
      </c>
      <c r="G75" s="56">
        <v>2854</v>
      </c>
      <c r="H75" t="s">
        <v>109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 x14ac:dyDescent="0.25">
      <c r="A76">
        <v>75</v>
      </c>
      <c r="B76">
        <v>212182</v>
      </c>
      <c r="C76" t="s">
        <v>60</v>
      </c>
      <c r="D76">
        <v>212180</v>
      </c>
      <c r="E76">
        <v>5</v>
      </c>
      <c r="F76" t="s">
        <v>18</v>
      </c>
      <c r="G76" s="56">
        <v>11566400</v>
      </c>
      <c r="H76" t="s">
        <v>109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 x14ac:dyDescent="0.25">
      <c r="A77">
        <v>76</v>
      </c>
      <c r="B77">
        <v>212183</v>
      </c>
      <c r="C77" t="s">
        <v>61</v>
      </c>
      <c r="D77">
        <v>212180</v>
      </c>
      <c r="E77">
        <v>5</v>
      </c>
      <c r="F77" t="s">
        <v>18</v>
      </c>
      <c r="G77" s="56">
        <v>256800</v>
      </c>
      <c r="H77" t="s">
        <v>109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 x14ac:dyDescent="0.25">
      <c r="A78">
        <v>77</v>
      </c>
      <c r="B78">
        <v>212184</v>
      </c>
      <c r="C78" t="s">
        <v>62</v>
      </c>
      <c r="D78">
        <v>212180</v>
      </c>
      <c r="E78">
        <v>5</v>
      </c>
      <c r="F78" t="s">
        <v>18</v>
      </c>
      <c r="G78" s="56">
        <v>128400</v>
      </c>
      <c r="H78" t="s">
        <v>109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 spans="1:20" x14ac:dyDescent="0.25">
      <c r="A79">
        <v>78</v>
      </c>
      <c r="B79">
        <v>212185</v>
      </c>
      <c r="C79" t="s">
        <v>63</v>
      </c>
      <c r="D79">
        <v>212180</v>
      </c>
      <c r="E79">
        <v>5</v>
      </c>
      <c r="F79" t="s">
        <v>18</v>
      </c>
      <c r="G79" s="56">
        <v>60000</v>
      </c>
      <c r="H79" t="s">
        <v>109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 spans="1:20" x14ac:dyDescent="0.25">
      <c r="A80">
        <v>79</v>
      </c>
      <c r="B80">
        <v>212186</v>
      </c>
      <c r="C80" t="s">
        <v>64</v>
      </c>
      <c r="D80">
        <v>212180</v>
      </c>
      <c r="E80">
        <v>5</v>
      </c>
      <c r="F80" t="s">
        <v>18</v>
      </c>
      <c r="G80" s="56">
        <v>81396</v>
      </c>
      <c r="H80" t="s">
        <v>109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1:20" x14ac:dyDescent="0.25">
      <c r="A81">
        <v>80</v>
      </c>
      <c r="B81">
        <v>212190</v>
      </c>
      <c r="C81" t="s">
        <v>65</v>
      </c>
      <c r="D81">
        <v>212000</v>
      </c>
      <c r="E81">
        <v>4</v>
      </c>
      <c r="F81" t="s">
        <v>18</v>
      </c>
      <c r="G81" s="56">
        <v>285312</v>
      </c>
      <c r="H81" t="s">
        <v>109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 spans="1:20" x14ac:dyDescent="0.25">
      <c r="A82">
        <v>81</v>
      </c>
      <c r="B82">
        <v>212210</v>
      </c>
      <c r="C82" t="s">
        <v>119</v>
      </c>
      <c r="D82">
        <v>212000</v>
      </c>
      <c r="E82">
        <v>4</v>
      </c>
      <c r="F82" t="s">
        <v>18</v>
      </c>
      <c r="G82" s="56">
        <v>150000</v>
      </c>
      <c r="H82" t="s">
        <v>109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1:20" x14ac:dyDescent="0.25">
      <c r="A83">
        <v>82</v>
      </c>
      <c r="B83">
        <v>212220</v>
      </c>
      <c r="C83" t="s">
        <v>66</v>
      </c>
      <c r="D83">
        <v>212000</v>
      </c>
      <c r="E83">
        <v>4</v>
      </c>
      <c r="F83" t="s">
        <v>18</v>
      </c>
      <c r="G83" s="56">
        <v>2400</v>
      </c>
      <c r="H83" t="s">
        <v>109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 spans="1:20" x14ac:dyDescent="0.25">
      <c r="A84">
        <v>83</v>
      </c>
      <c r="B84">
        <v>212230</v>
      </c>
      <c r="C84" t="s">
        <v>67</v>
      </c>
      <c r="D84">
        <v>212000</v>
      </c>
      <c r="E84">
        <v>4</v>
      </c>
      <c r="F84" t="s">
        <v>18</v>
      </c>
      <c r="G84" s="56">
        <v>24000</v>
      </c>
      <c r="H84" t="s">
        <v>109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 spans="1:20" x14ac:dyDescent="0.25">
      <c r="A85">
        <v>84</v>
      </c>
      <c r="B85">
        <v>212240</v>
      </c>
      <c r="C85" t="s">
        <v>68</v>
      </c>
      <c r="D85">
        <v>212000</v>
      </c>
      <c r="E85">
        <v>4</v>
      </c>
      <c r="F85" t="s">
        <v>18</v>
      </c>
      <c r="G85" s="56">
        <v>749250</v>
      </c>
      <c r="H85" t="s">
        <v>109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 x14ac:dyDescent="0.25">
      <c r="A86">
        <v>85</v>
      </c>
      <c r="B86">
        <v>212250</v>
      </c>
      <c r="C86" t="s">
        <v>69</v>
      </c>
      <c r="D86">
        <v>212000</v>
      </c>
      <c r="E86">
        <v>4</v>
      </c>
      <c r="F86" t="s">
        <v>18</v>
      </c>
      <c r="G86" s="56">
        <v>20000</v>
      </c>
      <c r="H86" t="s">
        <v>109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 x14ac:dyDescent="0.25">
      <c r="A87">
        <v>86</v>
      </c>
      <c r="B87">
        <v>212260</v>
      </c>
      <c r="C87" t="s">
        <v>70</v>
      </c>
      <c r="D87">
        <v>212000</v>
      </c>
      <c r="E87">
        <v>4</v>
      </c>
      <c r="F87" t="s">
        <v>18</v>
      </c>
      <c r="G87" s="56">
        <v>500000</v>
      </c>
      <c r="H87" t="s">
        <v>109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 spans="1:20" x14ac:dyDescent="0.25">
      <c r="A88">
        <v>87</v>
      </c>
      <c r="B88">
        <v>212270</v>
      </c>
      <c r="C88" t="s">
        <v>71</v>
      </c>
      <c r="D88">
        <v>212000</v>
      </c>
      <c r="E88">
        <v>4</v>
      </c>
      <c r="F88" t="s">
        <v>18</v>
      </c>
      <c r="G88" s="56">
        <v>1600</v>
      </c>
      <c r="H88" t="s">
        <v>109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 x14ac:dyDescent="0.25">
      <c r="A89">
        <v>88</v>
      </c>
      <c r="B89">
        <v>212280</v>
      </c>
      <c r="C89" t="s">
        <v>120</v>
      </c>
      <c r="D89">
        <v>212000</v>
      </c>
      <c r="E89">
        <v>4</v>
      </c>
      <c r="F89" t="s">
        <v>18</v>
      </c>
      <c r="G89" s="56">
        <v>1607675</v>
      </c>
      <c r="H89" t="s">
        <v>109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 x14ac:dyDescent="0.25">
      <c r="A90">
        <v>89</v>
      </c>
      <c r="B90">
        <v>212290</v>
      </c>
      <c r="C90" t="s">
        <v>121</v>
      </c>
      <c r="D90">
        <v>212000</v>
      </c>
      <c r="E90">
        <v>4</v>
      </c>
      <c r="F90" t="s">
        <v>16</v>
      </c>
      <c r="G90" s="56">
        <v>885000</v>
      </c>
      <c r="H90" t="s">
        <v>109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1:20" x14ac:dyDescent="0.25">
      <c r="A91">
        <v>90</v>
      </c>
      <c r="B91">
        <v>212291</v>
      </c>
      <c r="C91" t="s">
        <v>149</v>
      </c>
      <c r="D91">
        <v>212290</v>
      </c>
      <c r="E91">
        <v>5</v>
      </c>
      <c r="F91" t="s">
        <v>18</v>
      </c>
      <c r="G91" s="56">
        <v>385000</v>
      </c>
      <c r="H91" t="s">
        <v>109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 spans="1:20" x14ac:dyDescent="0.25">
      <c r="A92">
        <v>91</v>
      </c>
      <c r="B92">
        <v>212292</v>
      </c>
      <c r="C92" t="s">
        <v>150</v>
      </c>
      <c r="D92">
        <v>212290</v>
      </c>
      <c r="E92">
        <v>5</v>
      </c>
      <c r="F92" t="s">
        <v>18</v>
      </c>
      <c r="G92" s="56">
        <v>500000</v>
      </c>
      <c r="H92" t="s">
        <v>109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 spans="1:20" x14ac:dyDescent="0.25">
      <c r="A93">
        <v>92</v>
      </c>
      <c r="B93">
        <v>212310</v>
      </c>
      <c r="C93" t="s">
        <v>122</v>
      </c>
      <c r="D93">
        <v>212000</v>
      </c>
      <c r="E93">
        <v>4</v>
      </c>
      <c r="F93" t="s">
        <v>18</v>
      </c>
      <c r="G93" s="56">
        <v>430000</v>
      </c>
      <c r="H93" t="s">
        <v>109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 spans="1:20" x14ac:dyDescent="0.25">
      <c r="A94">
        <v>93</v>
      </c>
      <c r="B94">
        <v>212320</v>
      </c>
      <c r="C94" t="s">
        <v>123</v>
      </c>
      <c r="D94">
        <v>212000</v>
      </c>
      <c r="E94">
        <v>4</v>
      </c>
      <c r="F94" t="s">
        <v>18</v>
      </c>
      <c r="G94" s="56">
        <v>25000</v>
      </c>
      <c r="H94" t="s">
        <v>109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 x14ac:dyDescent="0.25">
      <c r="A95">
        <v>94</v>
      </c>
      <c r="B95">
        <v>212330</v>
      </c>
      <c r="C95" t="s">
        <v>124</v>
      </c>
      <c r="D95">
        <v>212000</v>
      </c>
      <c r="E95">
        <v>4</v>
      </c>
      <c r="F95" t="s">
        <v>18</v>
      </c>
      <c r="G95" s="56">
        <v>40000</v>
      </c>
      <c r="H95" t="s">
        <v>109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 spans="1:20" x14ac:dyDescent="0.25">
      <c r="A96">
        <v>95</v>
      </c>
      <c r="B96">
        <v>212340</v>
      </c>
      <c r="C96" t="s">
        <v>125</v>
      </c>
      <c r="D96">
        <v>212000</v>
      </c>
      <c r="E96">
        <v>4</v>
      </c>
      <c r="F96" t="s">
        <v>18</v>
      </c>
      <c r="G96" s="56">
        <v>82500</v>
      </c>
      <c r="H96" t="s">
        <v>109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 x14ac:dyDescent="0.25">
      <c r="A97">
        <v>96</v>
      </c>
      <c r="B97">
        <v>213000</v>
      </c>
      <c r="C97" t="s">
        <v>72</v>
      </c>
      <c r="D97">
        <v>210000</v>
      </c>
      <c r="E97">
        <v>3</v>
      </c>
      <c r="F97" t="s">
        <v>16</v>
      </c>
      <c r="G97" s="56">
        <v>2247260</v>
      </c>
      <c r="H97" t="s">
        <v>109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 x14ac:dyDescent="0.25">
      <c r="A98">
        <v>97</v>
      </c>
      <c r="B98">
        <v>213100</v>
      </c>
      <c r="C98" t="s">
        <v>73</v>
      </c>
      <c r="D98">
        <v>213000</v>
      </c>
      <c r="E98">
        <v>4</v>
      </c>
      <c r="F98" t="s">
        <v>18</v>
      </c>
      <c r="G98" s="56">
        <v>700000</v>
      </c>
      <c r="H98" t="s">
        <v>109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 x14ac:dyDescent="0.25">
      <c r="A99">
        <v>98</v>
      </c>
      <c r="B99">
        <v>213200</v>
      </c>
      <c r="C99" t="s">
        <v>74</v>
      </c>
      <c r="D99">
        <v>213000</v>
      </c>
      <c r="E99">
        <v>4</v>
      </c>
      <c r="F99" t="s">
        <v>18</v>
      </c>
      <c r="G99" s="56">
        <v>144000</v>
      </c>
      <c r="H99" t="s">
        <v>109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 x14ac:dyDescent="0.25">
      <c r="A100">
        <v>99</v>
      </c>
      <c r="B100">
        <v>213300</v>
      </c>
      <c r="C100" t="s">
        <v>75</v>
      </c>
      <c r="D100">
        <v>213000</v>
      </c>
      <c r="E100">
        <v>4</v>
      </c>
      <c r="F100" t="s">
        <v>18</v>
      </c>
      <c r="G100" s="56">
        <v>60000</v>
      </c>
      <c r="H100" t="s">
        <v>109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 x14ac:dyDescent="0.25">
      <c r="A101">
        <v>100</v>
      </c>
      <c r="B101">
        <v>213400</v>
      </c>
      <c r="C101" t="s">
        <v>76</v>
      </c>
      <c r="D101">
        <v>213000</v>
      </c>
      <c r="E101">
        <v>4</v>
      </c>
      <c r="F101" t="s">
        <v>16</v>
      </c>
      <c r="G101" s="56">
        <v>1313260</v>
      </c>
      <c r="H101" t="s">
        <v>109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 x14ac:dyDescent="0.25">
      <c r="A102">
        <v>101</v>
      </c>
      <c r="B102">
        <v>213410</v>
      </c>
      <c r="C102" t="s">
        <v>76</v>
      </c>
      <c r="D102">
        <v>213400</v>
      </c>
      <c r="E102">
        <v>5</v>
      </c>
      <c r="F102" t="s">
        <v>18</v>
      </c>
      <c r="G102" s="56">
        <v>825000</v>
      </c>
      <c r="H102" t="s">
        <v>109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 x14ac:dyDescent="0.25">
      <c r="A103">
        <v>102</v>
      </c>
      <c r="B103">
        <v>213420</v>
      </c>
      <c r="C103" t="s">
        <v>126</v>
      </c>
      <c r="D103">
        <v>213400</v>
      </c>
      <c r="E103">
        <v>5</v>
      </c>
      <c r="F103" t="s">
        <v>18</v>
      </c>
      <c r="G103" s="56">
        <v>488260</v>
      </c>
      <c r="H103" t="s">
        <v>109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20" x14ac:dyDescent="0.25">
      <c r="A104">
        <v>103</v>
      </c>
      <c r="B104">
        <v>213500</v>
      </c>
      <c r="C104" t="s">
        <v>77</v>
      </c>
      <c r="D104">
        <v>213000</v>
      </c>
      <c r="E104">
        <v>4</v>
      </c>
      <c r="F104" t="s">
        <v>18</v>
      </c>
      <c r="G104" s="56">
        <v>30000</v>
      </c>
      <c r="H104" t="s">
        <v>109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 x14ac:dyDescent="0.25">
      <c r="A105">
        <v>104</v>
      </c>
      <c r="B105">
        <v>220000</v>
      </c>
      <c r="C105" t="s">
        <v>78</v>
      </c>
      <c r="D105">
        <v>200000</v>
      </c>
      <c r="E105">
        <v>2</v>
      </c>
      <c r="F105" t="s">
        <v>16</v>
      </c>
      <c r="G105" s="56">
        <v>1956300</v>
      </c>
      <c r="H105" t="s">
        <v>109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 x14ac:dyDescent="0.25">
      <c r="A106">
        <v>105</v>
      </c>
      <c r="B106">
        <v>221000</v>
      </c>
      <c r="C106" t="s">
        <v>79</v>
      </c>
      <c r="D106">
        <v>220000</v>
      </c>
      <c r="E106">
        <v>3</v>
      </c>
      <c r="F106" t="s">
        <v>16</v>
      </c>
      <c r="G106" s="56">
        <v>1086000</v>
      </c>
      <c r="H106" t="s">
        <v>109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 x14ac:dyDescent="0.25">
      <c r="A107">
        <v>106</v>
      </c>
      <c r="B107">
        <v>221100</v>
      </c>
      <c r="C107" t="s">
        <v>60</v>
      </c>
      <c r="D107">
        <v>221000</v>
      </c>
      <c r="E107">
        <v>4</v>
      </c>
      <c r="F107" t="s">
        <v>18</v>
      </c>
      <c r="G107" s="56">
        <v>1080000</v>
      </c>
      <c r="H107" t="s">
        <v>109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 spans="1:20" x14ac:dyDescent="0.25">
      <c r="A108">
        <v>107</v>
      </c>
      <c r="B108">
        <v>221200</v>
      </c>
      <c r="C108" t="s">
        <v>57</v>
      </c>
      <c r="D108">
        <v>221000</v>
      </c>
      <c r="E108">
        <v>4</v>
      </c>
      <c r="F108" t="s">
        <v>18</v>
      </c>
      <c r="G108" s="56">
        <v>6000</v>
      </c>
      <c r="H108" t="s">
        <v>109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 x14ac:dyDescent="0.25">
      <c r="A109">
        <v>108</v>
      </c>
      <c r="B109">
        <v>222000</v>
      </c>
      <c r="C109" t="s">
        <v>80</v>
      </c>
      <c r="D109">
        <v>220000</v>
      </c>
      <c r="E109">
        <v>3</v>
      </c>
      <c r="F109" t="s">
        <v>18</v>
      </c>
      <c r="G109" s="56">
        <v>21900</v>
      </c>
      <c r="H109" t="s">
        <v>109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 spans="1:20" x14ac:dyDescent="0.25">
      <c r="A110">
        <v>109</v>
      </c>
      <c r="B110">
        <v>223000</v>
      </c>
      <c r="C110" t="s">
        <v>81</v>
      </c>
      <c r="D110">
        <v>220000</v>
      </c>
      <c r="E110">
        <v>3</v>
      </c>
      <c r="F110" t="s">
        <v>16</v>
      </c>
      <c r="G110" s="56">
        <v>548400</v>
      </c>
      <c r="H110" t="s">
        <v>109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20" x14ac:dyDescent="0.25">
      <c r="A111">
        <v>110</v>
      </c>
      <c r="B111">
        <v>223100</v>
      </c>
      <c r="C111" t="s">
        <v>127</v>
      </c>
      <c r="D111">
        <v>223000</v>
      </c>
      <c r="E111">
        <v>4</v>
      </c>
      <c r="F111" t="s">
        <v>18</v>
      </c>
      <c r="G111" s="56">
        <v>120000</v>
      </c>
      <c r="H111" t="s">
        <v>109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 spans="1:20" x14ac:dyDescent="0.25">
      <c r="A112">
        <v>111</v>
      </c>
      <c r="B112">
        <v>223200</v>
      </c>
      <c r="C112" t="s">
        <v>110</v>
      </c>
      <c r="D112">
        <v>223000</v>
      </c>
      <c r="E112">
        <v>4</v>
      </c>
      <c r="F112" t="s">
        <v>18</v>
      </c>
      <c r="G112" s="56">
        <v>92400</v>
      </c>
      <c r="H112" t="s">
        <v>109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 spans="1:20" x14ac:dyDescent="0.25">
      <c r="A113">
        <v>112</v>
      </c>
      <c r="B113">
        <v>223300</v>
      </c>
      <c r="C113" t="s">
        <v>82</v>
      </c>
      <c r="D113">
        <v>223000</v>
      </c>
      <c r="E113">
        <v>4</v>
      </c>
      <c r="F113" t="s">
        <v>18</v>
      </c>
      <c r="G113" s="56">
        <v>336000</v>
      </c>
      <c r="H113" t="s">
        <v>109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 x14ac:dyDescent="0.25">
      <c r="A114">
        <v>113</v>
      </c>
      <c r="B114">
        <v>224000</v>
      </c>
      <c r="C114" t="s">
        <v>83</v>
      </c>
      <c r="D114">
        <v>220000</v>
      </c>
      <c r="E114">
        <v>3</v>
      </c>
      <c r="F114" t="s">
        <v>18</v>
      </c>
      <c r="G114" s="56">
        <v>300000</v>
      </c>
      <c r="H114" t="s">
        <v>109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 spans="1:20" x14ac:dyDescent="0.25">
      <c r="A115">
        <v>114</v>
      </c>
      <c r="B115">
        <v>230000</v>
      </c>
      <c r="C115" t="s">
        <v>84</v>
      </c>
      <c r="D115">
        <v>200000</v>
      </c>
      <c r="E115">
        <v>2</v>
      </c>
      <c r="F115" t="s">
        <v>16</v>
      </c>
      <c r="G115" s="56">
        <v>7066890</v>
      </c>
      <c r="H115" t="s">
        <v>109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 spans="1:20" x14ac:dyDescent="0.25">
      <c r="A116">
        <v>115</v>
      </c>
      <c r="B116">
        <v>231000</v>
      </c>
      <c r="C116" t="s">
        <v>128</v>
      </c>
      <c r="D116">
        <v>230000</v>
      </c>
      <c r="E116">
        <v>3</v>
      </c>
      <c r="F116" t="s">
        <v>18</v>
      </c>
      <c r="G116" s="56">
        <v>1066890</v>
      </c>
      <c r="H116" t="s">
        <v>109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 spans="1:20" x14ac:dyDescent="0.25">
      <c r="A117">
        <v>157</v>
      </c>
      <c r="B117">
        <v>232000</v>
      </c>
      <c r="C117" t="s">
        <v>129</v>
      </c>
      <c r="D117">
        <v>230000</v>
      </c>
      <c r="E117">
        <v>3</v>
      </c>
      <c r="F117" t="s">
        <v>18</v>
      </c>
      <c r="G117" s="56">
        <v>6000000</v>
      </c>
      <c r="H117" t="s">
        <v>109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 x14ac:dyDescent="0.25">
      <c r="A118">
        <v>116</v>
      </c>
      <c r="B118">
        <v>300000</v>
      </c>
      <c r="C118" t="s">
        <v>85</v>
      </c>
      <c r="E118">
        <v>1</v>
      </c>
      <c r="F118" t="s">
        <v>16</v>
      </c>
      <c r="G118" s="56">
        <v>14118500</v>
      </c>
      <c r="H118" t="s">
        <v>109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 spans="1:20" x14ac:dyDescent="0.25">
      <c r="A119">
        <v>117</v>
      </c>
      <c r="B119">
        <v>310000</v>
      </c>
      <c r="C119" t="s">
        <v>86</v>
      </c>
      <c r="D119">
        <v>300000</v>
      </c>
      <c r="E119">
        <v>2</v>
      </c>
      <c r="F119" t="s">
        <v>16</v>
      </c>
      <c r="G119" s="56">
        <v>14118500</v>
      </c>
      <c r="H119" t="s">
        <v>109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 spans="1:20" x14ac:dyDescent="0.25">
      <c r="A120">
        <v>118</v>
      </c>
      <c r="B120">
        <v>311000</v>
      </c>
      <c r="C120" t="s">
        <v>130</v>
      </c>
      <c r="D120">
        <v>310000</v>
      </c>
      <c r="E120">
        <v>3</v>
      </c>
      <c r="F120" t="s">
        <v>18</v>
      </c>
      <c r="G120" s="56">
        <v>1700000</v>
      </c>
      <c r="H120" t="s">
        <v>109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1:20" x14ac:dyDescent="0.25">
      <c r="A121">
        <v>119</v>
      </c>
      <c r="B121">
        <v>312000</v>
      </c>
      <c r="C121" t="s">
        <v>131</v>
      </c>
      <c r="D121">
        <v>310000</v>
      </c>
      <c r="E121">
        <v>3</v>
      </c>
      <c r="F121" t="s">
        <v>18</v>
      </c>
      <c r="G121" s="56">
        <v>35000</v>
      </c>
      <c r="H121" t="s">
        <v>109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1:20" x14ac:dyDescent="0.25">
      <c r="A122">
        <v>120</v>
      </c>
      <c r="B122">
        <v>313000</v>
      </c>
      <c r="C122" t="s">
        <v>108</v>
      </c>
      <c r="D122">
        <v>310000</v>
      </c>
      <c r="E122">
        <v>3</v>
      </c>
      <c r="F122" t="s">
        <v>18</v>
      </c>
      <c r="G122" s="56">
        <v>50400</v>
      </c>
      <c r="H122" t="s">
        <v>109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 x14ac:dyDescent="0.25">
      <c r="A123">
        <v>121</v>
      </c>
      <c r="B123">
        <v>314000</v>
      </c>
      <c r="C123" t="s">
        <v>132</v>
      </c>
      <c r="D123">
        <v>310000</v>
      </c>
      <c r="E123">
        <v>3</v>
      </c>
      <c r="F123" t="s">
        <v>18</v>
      </c>
      <c r="G123" s="56">
        <v>3300000</v>
      </c>
      <c r="H123" t="s">
        <v>109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 x14ac:dyDescent="0.25">
      <c r="A124">
        <v>122</v>
      </c>
      <c r="B124">
        <v>315000</v>
      </c>
      <c r="C124" t="s">
        <v>133</v>
      </c>
      <c r="D124">
        <v>310000</v>
      </c>
      <c r="E124">
        <v>3</v>
      </c>
      <c r="F124" t="s">
        <v>18</v>
      </c>
      <c r="G124" s="56">
        <v>3900000</v>
      </c>
      <c r="H124" t="s">
        <v>109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1:20" x14ac:dyDescent="0.25">
      <c r="A125">
        <v>123</v>
      </c>
      <c r="B125">
        <v>316000</v>
      </c>
      <c r="C125" t="s">
        <v>134</v>
      </c>
      <c r="D125">
        <v>310000</v>
      </c>
      <c r="E125">
        <v>3</v>
      </c>
      <c r="F125" t="s">
        <v>18</v>
      </c>
      <c r="G125" s="56">
        <v>4900000</v>
      </c>
      <c r="H125" t="s">
        <v>109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 spans="1:20" x14ac:dyDescent="0.25">
      <c r="B126">
        <v>317000</v>
      </c>
      <c r="C126" t="s">
        <v>135</v>
      </c>
      <c r="D126">
        <v>310000</v>
      </c>
      <c r="E126">
        <v>3</v>
      </c>
      <c r="F126" t="s">
        <v>18</v>
      </c>
      <c r="G126">
        <v>36000</v>
      </c>
    </row>
    <row r="127" spans="1:20" x14ac:dyDescent="0.25">
      <c r="B127">
        <v>318000</v>
      </c>
      <c r="C127" t="s">
        <v>136</v>
      </c>
      <c r="D127">
        <v>310000</v>
      </c>
      <c r="E127">
        <v>3</v>
      </c>
      <c r="F127" t="s">
        <v>18</v>
      </c>
      <c r="G127">
        <v>89100</v>
      </c>
    </row>
    <row r="128" spans="1:20" x14ac:dyDescent="0.25">
      <c r="B128">
        <v>319000</v>
      </c>
      <c r="C128" t="s">
        <v>137</v>
      </c>
      <c r="D128">
        <v>310000</v>
      </c>
      <c r="E128">
        <v>3</v>
      </c>
      <c r="F128" t="s">
        <v>18</v>
      </c>
      <c r="G128">
        <v>108000</v>
      </c>
    </row>
  </sheetData>
  <autoFilter ref="A1:T125" xr:uid="{6B620271-47D1-49ED-A6EB-9041FAB26BA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D458E-6B7F-49C7-971F-8CA8B02C098F}">
  <dimension ref="A1:F124"/>
  <sheetViews>
    <sheetView zoomScale="85" zoomScaleNormal="85" workbookViewId="0">
      <selection activeCell="F5" sqref="F5"/>
    </sheetView>
  </sheetViews>
  <sheetFormatPr defaultColWidth="8.69921875" defaultRowHeight="25.8" x14ac:dyDescent="0.65"/>
  <cols>
    <col min="1" max="1" width="12.5" style="68" customWidth="1"/>
    <col min="2" max="2" width="47" style="68" customWidth="1"/>
    <col min="3" max="3" width="11.59765625" style="65" bestFit="1" customWidth="1"/>
    <col min="4" max="4" width="5.59765625" style="65" bestFit="1" customWidth="1"/>
    <col min="5" max="5" width="6.5" style="65" bestFit="1" customWidth="1"/>
    <col min="6" max="6" width="14.5" style="65" bestFit="1" customWidth="1"/>
    <col min="7" max="16384" width="8.69921875" style="68"/>
  </cols>
  <sheetData>
    <row r="1" spans="1:6" ht="26.4" x14ac:dyDescent="0.7">
      <c r="A1" s="66" t="s">
        <v>87</v>
      </c>
      <c r="B1" s="66" t="s">
        <v>94</v>
      </c>
      <c r="C1" s="67" t="s">
        <v>88</v>
      </c>
      <c r="D1" s="67" t="s">
        <v>89</v>
      </c>
      <c r="E1" s="67" t="s">
        <v>90</v>
      </c>
      <c r="F1" s="67" t="s">
        <v>91</v>
      </c>
    </row>
    <row r="2" spans="1:6" ht="26.4" x14ac:dyDescent="0.65">
      <c r="A2" s="65">
        <v>68100000</v>
      </c>
      <c r="B2" s="69" t="s">
        <v>15</v>
      </c>
      <c r="C2" s="70"/>
      <c r="D2" s="65">
        <v>1</v>
      </c>
      <c r="E2" s="65" t="s">
        <v>16</v>
      </c>
      <c r="F2" s="71">
        <f>+F3+F29+F31</f>
        <v>32152021.199999999</v>
      </c>
    </row>
    <row r="3" spans="1:6" ht="26.4" x14ac:dyDescent="0.65">
      <c r="A3" s="65">
        <v>68110000</v>
      </c>
      <c r="B3" s="72" t="s">
        <v>151</v>
      </c>
      <c r="C3" s="70">
        <v>68100000</v>
      </c>
      <c r="D3" s="70">
        <v>2</v>
      </c>
      <c r="E3" s="65" t="s">
        <v>16</v>
      </c>
      <c r="F3" s="71">
        <f>+F4+F23</f>
        <v>11276971.199999999</v>
      </c>
    </row>
    <row r="4" spans="1:6" ht="26.4" x14ac:dyDescent="0.65">
      <c r="A4" s="65">
        <v>68111000</v>
      </c>
      <c r="B4" s="73" t="s">
        <v>7</v>
      </c>
      <c r="C4" s="74">
        <v>68110000</v>
      </c>
      <c r="D4" s="74" t="s">
        <v>192</v>
      </c>
      <c r="E4" s="65" t="s">
        <v>16</v>
      </c>
      <c r="F4" s="71">
        <f>+F5+F6+F7+F8+F9+F10+F11+F12+F13+F14+F15+F16+F17+F18+F19+F20+F21+F22</f>
        <v>9971036.1999999993</v>
      </c>
    </row>
    <row r="5" spans="1:6" ht="26.4" x14ac:dyDescent="0.65">
      <c r="A5" s="65">
        <v>68111001</v>
      </c>
      <c r="B5" s="75" t="s">
        <v>152</v>
      </c>
      <c r="C5" s="76">
        <v>68111000</v>
      </c>
      <c r="D5" s="65">
        <v>4</v>
      </c>
      <c r="E5" s="65" t="s">
        <v>18</v>
      </c>
      <c r="F5" s="71">
        <v>605192</v>
      </c>
    </row>
    <row r="6" spans="1:6" ht="26.4" x14ac:dyDescent="0.65">
      <c r="A6" s="65">
        <v>68111002</v>
      </c>
      <c r="B6" s="75" t="s">
        <v>41</v>
      </c>
      <c r="C6" s="76">
        <v>68111000</v>
      </c>
      <c r="D6" s="65">
        <v>4</v>
      </c>
      <c r="E6" s="65" t="s">
        <v>18</v>
      </c>
      <c r="F6" s="71">
        <v>526000</v>
      </c>
    </row>
    <row r="7" spans="1:6" ht="26.4" x14ac:dyDescent="0.65">
      <c r="A7" s="65">
        <v>68111003</v>
      </c>
      <c r="B7" s="75" t="s">
        <v>50</v>
      </c>
      <c r="C7" s="76">
        <v>68111000</v>
      </c>
      <c r="D7" s="65">
        <v>4</v>
      </c>
      <c r="E7" s="65" t="s">
        <v>18</v>
      </c>
      <c r="F7" s="71">
        <v>36064</v>
      </c>
    </row>
    <row r="8" spans="1:6" ht="26.4" x14ac:dyDescent="0.65">
      <c r="A8" s="65">
        <v>68111004</v>
      </c>
      <c r="B8" s="75" t="s">
        <v>51</v>
      </c>
      <c r="C8" s="76">
        <v>68111000</v>
      </c>
      <c r="D8" s="65">
        <v>4</v>
      </c>
      <c r="E8" s="65" t="s">
        <v>18</v>
      </c>
      <c r="F8" s="71">
        <v>53672.380000000005</v>
      </c>
    </row>
    <row r="9" spans="1:6" ht="26.4" x14ac:dyDescent="0.65">
      <c r="A9" s="65">
        <v>68111005</v>
      </c>
      <c r="B9" s="75" t="s">
        <v>52</v>
      </c>
      <c r="C9" s="76">
        <v>68111000</v>
      </c>
      <c r="D9" s="65">
        <v>4</v>
      </c>
      <c r="E9" s="65" t="s">
        <v>18</v>
      </c>
      <c r="F9" s="71">
        <v>25720.66</v>
      </c>
    </row>
    <row r="10" spans="1:6" ht="26.4" x14ac:dyDescent="0.65">
      <c r="A10" s="65">
        <v>68111006</v>
      </c>
      <c r="B10" s="75" t="s">
        <v>61</v>
      </c>
      <c r="C10" s="76">
        <v>68111000</v>
      </c>
      <c r="D10" s="65">
        <v>4</v>
      </c>
      <c r="E10" s="65" t="s">
        <v>18</v>
      </c>
      <c r="F10" s="71">
        <v>19260</v>
      </c>
    </row>
    <row r="11" spans="1:6" ht="26.4" x14ac:dyDescent="0.65">
      <c r="A11" s="65">
        <v>68111007</v>
      </c>
      <c r="B11" s="77" t="s">
        <v>62</v>
      </c>
      <c r="C11" s="78">
        <v>68111000</v>
      </c>
      <c r="D11" s="65">
        <v>4</v>
      </c>
      <c r="E11" s="65" t="s">
        <v>18</v>
      </c>
      <c r="F11" s="71">
        <v>10700</v>
      </c>
    </row>
    <row r="12" spans="1:6" ht="26.4" x14ac:dyDescent="0.65">
      <c r="A12" s="65">
        <v>68111008</v>
      </c>
      <c r="B12" s="77" t="s">
        <v>63</v>
      </c>
      <c r="C12" s="78">
        <v>68111000</v>
      </c>
      <c r="D12" s="65">
        <v>4</v>
      </c>
      <c r="E12" s="65" t="s">
        <v>18</v>
      </c>
      <c r="F12" s="71">
        <v>7155.62</v>
      </c>
    </row>
    <row r="13" spans="1:6" ht="26.4" x14ac:dyDescent="0.65">
      <c r="A13" s="65">
        <v>68111009</v>
      </c>
      <c r="B13" s="77" t="s">
        <v>65</v>
      </c>
      <c r="C13" s="78">
        <v>68111000</v>
      </c>
      <c r="D13" s="65">
        <v>4</v>
      </c>
      <c r="E13" s="65" t="s">
        <v>18</v>
      </c>
      <c r="F13" s="71">
        <v>22577</v>
      </c>
    </row>
    <row r="14" spans="1:6" ht="26.4" x14ac:dyDescent="0.65">
      <c r="A14" s="65">
        <v>68111010</v>
      </c>
      <c r="B14" s="77" t="s">
        <v>153</v>
      </c>
      <c r="C14" s="78">
        <v>68111000</v>
      </c>
      <c r="D14" s="65">
        <v>4</v>
      </c>
      <c r="E14" s="65" t="s">
        <v>18</v>
      </c>
      <c r="F14" s="71">
        <v>5564</v>
      </c>
    </row>
    <row r="15" spans="1:6" ht="18" customHeight="1" x14ac:dyDescent="0.65">
      <c r="A15" s="65">
        <v>68111011</v>
      </c>
      <c r="B15" s="77" t="s">
        <v>154</v>
      </c>
      <c r="C15" s="78">
        <v>68111000</v>
      </c>
      <c r="D15" s="65">
        <v>4</v>
      </c>
      <c r="E15" s="65" t="s">
        <v>18</v>
      </c>
      <c r="F15" s="71">
        <v>422620.04</v>
      </c>
    </row>
    <row r="16" spans="1:6" ht="18" customHeight="1" x14ac:dyDescent="0.65">
      <c r="A16" s="65">
        <v>68111012</v>
      </c>
      <c r="B16" s="77" t="s">
        <v>155</v>
      </c>
      <c r="C16" s="78">
        <v>68111000</v>
      </c>
      <c r="D16" s="65">
        <v>4</v>
      </c>
      <c r="E16" s="65" t="s">
        <v>18</v>
      </c>
      <c r="F16" s="71">
        <v>1080600</v>
      </c>
    </row>
    <row r="17" spans="1:6" ht="26.4" x14ac:dyDescent="0.65">
      <c r="A17" s="65">
        <v>68111013</v>
      </c>
      <c r="B17" s="77" t="s">
        <v>156</v>
      </c>
      <c r="C17" s="78">
        <v>68111000</v>
      </c>
      <c r="D17" s="65">
        <v>4</v>
      </c>
      <c r="E17" s="65" t="s">
        <v>18</v>
      </c>
      <c r="F17" s="71">
        <v>1000000</v>
      </c>
    </row>
    <row r="18" spans="1:6" ht="26.4" x14ac:dyDescent="0.65">
      <c r="A18" s="65">
        <v>68111014</v>
      </c>
      <c r="B18" s="79" t="s">
        <v>157</v>
      </c>
      <c r="C18" s="80">
        <v>68111000</v>
      </c>
      <c r="D18" s="65">
        <v>4</v>
      </c>
      <c r="E18" s="65" t="s">
        <v>18</v>
      </c>
      <c r="F18" s="71">
        <v>680000</v>
      </c>
    </row>
    <row r="19" spans="1:6" ht="18" customHeight="1" x14ac:dyDescent="0.65">
      <c r="A19" s="65">
        <v>68111015</v>
      </c>
      <c r="B19" s="79" t="s">
        <v>158</v>
      </c>
      <c r="C19" s="80">
        <v>68111000</v>
      </c>
      <c r="D19" s="65">
        <v>4</v>
      </c>
      <c r="E19" s="65" t="s">
        <v>18</v>
      </c>
      <c r="F19" s="71">
        <v>936410.5</v>
      </c>
    </row>
    <row r="20" spans="1:6" ht="18" customHeight="1" x14ac:dyDescent="0.65">
      <c r="A20" s="65">
        <v>68111016</v>
      </c>
      <c r="B20" s="77" t="s">
        <v>159</v>
      </c>
      <c r="C20" s="78">
        <v>68111000</v>
      </c>
      <c r="D20" s="65">
        <v>4</v>
      </c>
      <c r="E20" s="65" t="s">
        <v>18</v>
      </c>
      <c r="F20" s="71">
        <v>2889000</v>
      </c>
    </row>
    <row r="21" spans="1:6" ht="18" customHeight="1" x14ac:dyDescent="0.65">
      <c r="A21" s="65">
        <v>68111017</v>
      </c>
      <c r="B21" s="77" t="s">
        <v>160</v>
      </c>
      <c r="C21" s="78">
        <v>68111000</v>
      </c>
      <c r="D21" s="65">
        <v>4</v>
      </c>
      <c r="E21" s="65" t="s">
        <v>18</v>
      </c>
      <c r="F21" s="71">
        <v>1413000</v>
      </c>
    </row>
    <row r="22" spans="1:6" ht="18" customHeight="1" x14ac:dyDescent="0.65">
      <c r="A22" s="65">
        <v>68111018</v>
      </c>
      <c r="B22" s="77" t="s">
        <v>161</v>
      </c>
      <c r="C22" s="78">
        <v>68111000</v>
      </c>
      <c r="D22" s="65">
        <v>4</v>
      </c>
      <c r="E22" s="65" t="s">
        <v>18</v>
      </c>
      <c r="F22" s="71">
        <v>237500</v>
      </c>
    </row>
    <row r="23" spans="1:6" ht="26.4" x14ac:dyDescent="0.65">
      <c r="A23" s="65">
        <v>68112000</v>
      </c>
      <c r="B23" s="73" t="s">
        <v>72</v>
      </c>
      <c r="C23" s="74">
        <v>68110000</v>
      </c>
      <c r="D23" s="74" t="s">
        <v>192</v>
      </c>
      <c r="E23" s="65" t="s">
        <v>16</v>
      </c>
      <c r="F23" s="71">
        <f>+F24+F25+F26+F27+F28</f>
        <v>1305935</v>
      </c>
    </row>
    <row r="24" spans="1:6" ht="18" customHeight="1" x14ac:dyDescent="0.65">
      <c r="A24" s="65">
        <v>68112001</v>
      </c>
      <c r="B24" s="77" t="s">
        <v>162</v>
      </c>
      <c r="C24" s="78">
        <v>68112000</v>
      </c>
      <c r="D24" s="78" t="s">
        <v>193</v>
      </c>
      <c r="E24" s="65" t="s">
        <v>18</v>
      </c>
      <c r="F24" s="71">
        <v>169167</v>
      </c>
    </row>
    <row r="25" spans="1:6" ht="51.6" x14ac:dyDescent="0.65">
      <c r="A25" s="65">
        <v>68112002</v>
      </c>
      <c r="B25" s="77" t="s">
        <v>163</v>
      </c>
      <c r="C25" s="78">
        <v>68112000</v>
      </c>
      <c r="D25" s="78" t="s">
        <v>193</v>
      </c>
      <c r="E25" s="65" t="s">
        <v>18</v>
      </c>
      <c r="F25" s="71">
        <v>291040</v>
      </c>
    </row>
    <row r="26" spans="1:6" ht="18" customHeight="1" x14ac:dyDescent="0.65">
      <c r="A26" s="65">
        <v>68112003</v>
      </c>
      <c r="B26" s="77" t="s">
        <v>164</v>
      </c>
      <c r="C26" s="78">
        <v>68112000</v>
      </c>
      <c r="D26" s="78" t="s">
        <v>193</v>
      </c>
      <c r="E26" s="65" t="s">
        <v>18</v>
      </c>
      <c r="F26" s="71">
        <v>713048</v>
      </c>
    </row>
    <row r="27" spans="1:6" ht="26.4" x14ac:dyDescent="0.65">
      <c r="A27" s="65">
        <v>68112004</v>
      </c>
      <c r="B27" s="77" t="s">
        <v>165</v>
      </c>
      <c r="C27" s="78">
        <v>68112000</v>
      </c>
      <c r="D27" s="78" t="s">
        <v>193</v>
      </c>
      <c r="E27" s="65" t="s">
        <v>18</v>
      </c>
      <c r="F27" s="71">
        <v>69550</v>
      </c>
    </row>
    <row r="28" spans="1:6" ht="18" customHeight="1" x14ac:dyDescent="0.65">
      <c r="A28" s="65">
        <v>68112005</v>
      </c>
      <c r="B28" s="77" t="s">
        <v>166</v>
      </c>
      <c r="C28" s="78">
        <v>68112000</v>
      </c>
      <c r="D28" s="78" t="s">
        <v>193</v>
      </c>
      <c r="E28" s="65" t="s">
        <v>18</v>
      </c>
      <c r="F28" s="71">
        <v>63130</v>
      </c>
    </row>
    <row r="29" spans="1:6" ht="26.4" x14ac:dyDescent="0.65">
      <c r="A29" s="65">
        <v>68120000</v>
      </c>
      <c r="B29" s="69" t="s">
        <v>78</v>
      </c>
      <c r="C29" s="70">
        <v>68100000</v>
      </c>
      <c r="D29" s="70">
        <v>2</v>
      </c>
      <c r="E29" s="65" t="s">
        <v>16</v>
      </c>
      <c r="F29" s="71">
        <f>+F30</f>
        <v>26750</v>
      </c>
    </row>
    <row r="30" spans="1:6" ht="26.4" x14ac:dyDescent="0.65">
      <c r="A30" s="65">
        <v>68120001</v>
      </c>
      <c r="B30" s="81" t="s">
        <v>167</v>
      </c>
      <c r="C30" s="65">
        <v>68120000</v>
      </c>
      <c r="D30" s="82" t="s">
        <v>192</v>
      </c>
      <c r="E30" s="65" t="s">
        <v>18</v>
      </c>
      <c r="F30" s="71">
        <v>26750</v>
      </c>
    </row>
    <row r="31" spans="1:6" ht="26.4" x14ac:dyDescent="0.65">
      <c r="A31" s="65">
        <v>68130000</v>
      </c>
      <c r="B31" s="83" t="s">
        <v>84</v>
      </c>
      <c r="C31" s="70">
        <v>68100000</v>
      </c>
      <c r="D31" s="70">
        <v>2</v>
      </c>
      <c r="E31" s="65" t="s">
        <v>16</v>
      </c>
      <c r="F31" s="71">
        <f>+F32+F33+F34+F35</f>
        <v>20848300</v>
      </c>
    </row>
    <row r="32" spans="1:6" ht="18" customHeight="1" x14ac:dyDescent="0.65">
      <c r="A32" s="65">
        <v>68130001</v>
      </c>
      <c r="B32" s="77" t="s">
        <v>168</v>
      </c>
      <c r="C32" s="78">
        <v>68130000</v>
      </c>
      <c r="D32" s="78" t="s">
        <v>192</v>
      </c>
      <c r="E32" s="65" t="s">
        <v>18</v>
      </c>
      <c r="F32" s="71">
        <v>8660000</v>
      </c>
    </row>
    <row r="33" spans="1:6" ht="18" customHeight="1" x14ac:dyDescent="0.65">
      <c r="A33" s="65">
        <v>68130002</v>
      </c>
      <c r="B33" s="77" t="s">
        <v>169</v>
      </c>
      <c r="C33" s="78">
        <v>68130000</v>
      </c>
      <c r="D33" s="78" t="s">
        <v>192</v>
      </c>
      <c r="E33" s="65" t="s">
        <v>18</v>
      </c>
      <c r="F33" s="71">
        <v>3000000</v>
      </c>
    </row>
    <row r="34" spans="1:6" ht="18" customHeight="1" x14ac:dyDescent="0.65">
      <c r="A34" s="65">
        <v>68130003</v>
      </c>
      <c r="B34" s="77" t="s">
        <v>170</v>
      </c>
      <c r="C34" s="78">
        <v>68130000</v>
      </c>
      <c r="D34" s="78" t="s">
        <v>192</v>
      </c>
      <c r="E34" s="65" t="s">
        <v>18</v>
      </c>
      <c r="F34" s="71">
        <v>6088300</v>
      </c>
    </row>
    <row r="35" spans="1:6" ht="18" customHeight="1" x14ac:dyDescent="0.65">
      <c r="A35" s="65">
        <v>68130004</v>
      </c>
      <c r="B35" s="77" t="s">
        <v>171</v>
      </c>
      <c r="C35" s="78">
        <v>68130000</v>
      </c>
      <c r="D35" s="78" t="s">
        <v>192</v>
      </c>
      <c r="E35" s="65" t="s">
        <v>18</v>
      </c>
      <c r="F35" s="71">
        <v>3100000</v>
      </c>
    </row>
    <row r="36" spans="1:6" ht="26.4" x14ac:dyDescent="0.65">
      <c r="A36" s="65">
        <v>68200000</v>
      </c>
      <c r="B36" s="69" t="s">
        <v>85</v>
      </c>
      <c r="C36" s="70"/>
      <c r="D36" s="70">
        <v>1</v>
      </c>
      <c r="E36" s="65" t="s">
        <v>16</v>
      </c>
      <c r="F36" s="71">
        <f>+F37+F55</f>
        <v>51576078.5</v>
      </c>
    </row>
    <row r="37" spans="1:6" ht="26.4" x14ac:dyDescent="0.65">
      <c r="A37" s="65">
        <v>68210000</v>
      </c>
      <c r="B37" s="69" t="s">
        <v>86</v>
      </c>
      <c r="C37" s="70">
        <v>68200000</v>
      </c>
      <c r="D37" s="70">
        <v>2</v>
      </c>
      <c r="E37" s="65" t="s">
        <v>16</v>
      </c>
      <c r="F37" s="71">
        <f>+F38+F39+F40+F41+F42+F43+F44+F45+F46+F47+F48+F50+F49+F51+F52+F53+F54</f>
        <v>14893168.5</v>
      </c>
    </row>
    <row r="38" spans="1:6" ht="18" customHeight="1" x14ac:dyDescent="0.65">
      <c r="A38" s="65">
        <v>68210001</v>
      </c>
      <c r="B38" s="77" t="s">
        <v>172</v>
      </c>
      <c r="C38" s="78">
        <v>68210000</v>
      </c>
      <c r="D38" s="78" t="s">
        <v>192</v>
      </c>
      <c r="E38" s="65" t="s">
        <v>18</v>
      </c>
      <c r="F38" s="71">
        <v>10549989</v>
      </c>
    </row>
    <row r="39" spans="1:6" ht="26.4" x14ac:dyDescent="0.65">
      <c r="A39" s="65">
        <v>68210002</v>
      </c>
      <c r="B39" s="77" t="s">
        <v>173</v>
      </c>
      <c r="C39" s="78">
        <v>68210000</v>
      </c>
      <c r="D39" s="78" t="s">
        <v>192</v>
      </c>
      <c r="E39" s="65" t="s">
        <v>18</v>
      </c>
      <c r="F39" s="71">
        <v>72225</v>
      </c>
    </row>
    <row r="40" spans="1:6" ht="18" customHeight="1" x14ac:dyDescent="0.65">
      <c r="A40" s="65">
        <v>68210003</v>
      </c>
      <c r="B40" s="77" t="s">
        <v>174</v>
      </c>
      <c r="C40" s="78">
        <v>68210000</v>
      </c>
      <c r="D40" s="78" t="s">
        <v>192</v>
      </c>
      <c r="E40" s="65" t="s">
        <v>18</v>
      </c>
      <c r="F40" s="71">
        <v>607931.19999999995</v>
      </c>
    </row>
    <row r="41" spans="1:6" ht="26.4" x14ac:dyDescent="0.65">
      <c r="A41" s="65">
        <v>68210004</v>
      </c>
      <c r="B41" s="77" t="s">
        <v>175</v>
      </c>
      <c r="C41" s="78">
        <v>68210000</v>
      </c>
      <c r="D41" s="78" t="s">
        <v>192</v>
      </c>
      <c r="E41" s="65" t="s">
        <v>18</v>
      </c>
      <c r="F41" s="71">
        <v>56924</v>
      </c>
    </row>
    <row r="42" spans="1:6" ht="26.4" x14ac:dyDescent="0.65">
      <c r="A42" s="65">
        <v>68210005</v>
      </c>
      <c r="B42" s="77" t="s">
        <v>176</v>
      </c>
      <c r="C42" s="78">
        <v>68210000</v>
      </c>
      <c r="D42" s="78" t="s">
        <v>192</v>
      </c>
      <c r="E42" s="65" t="s">
        <v>18</v>
      </c>
      <c r="F42" s="71">
        <v>251664</v>
      </c>
    </row>
    <row r="43" spans="1:6" ht="26.4" x14ac:dyDescent="0.65">
      <c r="A43" s="65">
        <v>68210006</v>
      </c>
      <c r="B43" s="77" t="s">
        <v>177</v>
      </c>
      <c r="C43" s="78">
        <v>68210000</v>
      </c>
      <c r="D43" s="78" t="s">
        <v>192</v>
      </c>
      <c r="E43" s="65" t="s">
        <v>18</v>
      </c>
      <c r="F43" s="71">
        <v>327420</v>
      </c>
    </row>
    <row r="44" spans="1:6" ht="51.6" x14ac:dyDescent="0.65">
      <c r="A44" s="65">
        <v>68210007</v>
      </c>
      <c r="B44" s="77" t="s">
        <v>178</v>
      </c>
      <c r="C44" s="78">
        <v>68210000</v>
      </c>
      <c r="D44" s="78" t="s">
        <v>192</v>
      </c>
      <c r="E44" s="65" t="s">
        <v>18</v>
      </c>
      <c r="F44" s="71">
        <v>22000</v>
      </c>
    </row>
    <row r="45" spans="1:6" ht="26.4" x14ac:dyDescent="0.65">
      <c r="A45" s="65">
        <v>68210008</v>
      </c>
      <c r="B45" s="77" t="s">
        <v>179</v>
      </c>
      <c r="C45" s="78">
        <v>68210000</v>
      </c>
      <c r="D45" s="78" t="s">
        <v>192</v>
      </c>
      <c r="E45" s="65" t="s">
        <v>18</v>
      </c>
      <c r="F45" s="71">
        <v>269843.3</v>
      </c>
    </row>
    <row r="46" spans="1:6" ht="51.6" x14ac:dyDescent="0.65">
      <c r="A46" s="65">
        <v>68210009</v>
      </c>
      <c r="B46" s="77" t="s">
        <v>180</v>
      </c>
      <c r="C46" s="78">
        <v>68210000</v>
      </c>
      <c r="D46" s="78" t="s">
        <v>192</v>
      </c>
      <c r="E46" s="65" t="s">
        <v>18</v>
      </c>
      <c r="F46" s="71">
        <v>184842.5</v>
      </c>
    </row>
    <row r="47" spans="1:6" ht="26.4" x14ac:dyDescent="0.65">
      <c r="A47" s="65">
        <v>68210010</v>
      </c>
      <c r="B47" s="77" t="s">
        <v>181</v>
      </c>
      <c r="C47" s="78">
        <v>68210000</v>
      </c>
      <c r="D47" s="78" t="s">
        <v>192</v>
      </c>
      <c r="E47" s="65" t="s">
        <v>18</v>
      </c>
      <c r="F47" s="71">
        <v>698710</v>
      </c>
    </row>
    <row r="48" spans="1:6" ht="26.4" x14ac:dyDescent="0.65">
      <c r="A48" s="65">
        <v>68210011</v>
      </c>
      <c r="B48" s="84" t="s">
        <v>182</v>
      </c>
      <c r="C48" s="82">
        <v>68210000</v>
      </c>
      <c r="D48" s="78" t="s">
        <v>192</v>
      </c>
      <c r="E48" s="65" t="s">
        <v>18</v>
      </c>
      <c r="F48" s="71">
        <v>1061012</v>
      </c>
    </row>
    <row r="49" spans="1:6" ht="26.4" x14ac:dyDescent="0.65">
      <c r="A49" s="65">
        <v>68210012</v>
      </c>
      <c r="B49" s="79" t="s">
        <v>183</v>
      </c>
      <c r="C49" s="80">
        <v>68210000</v>
      </c>
      <c r="D49" s="78" t="s">
        <v>192</v>
      </c>
      <c r="E49" s="65" t="s">
        <v>18</v>
      </c>
      <c r="F49" s="71">
        <v>74900</v>
      </c>
    </row>
    <row r="50" spans="1:6" ht="26.4" x14ac:dyDescent="0.65">
      <c r="A50" s="65">
        <v>68210013</v>
      </c>
      <c r="B50" s="79" t="s">
        <v>184</v>
      </c>
      <c r="C50" s="80">
        <v>68210000</v>
      </c>
      <c r="D50" s="78" t="s">
        <v>192</v>
      </c>
      <c r="E50" s="65" t="s">
        <v>18</v>
      </c>
      <c r="F50" s="71">
        <v>118449</v>
      </c>
    </row>
    <row r="51" spans="1:6" ht="26.4" x14ac:dyDescent="0.65">
      <c r="A51" s="65">
        <v>68210014</v>
      </c>
      <c r="B51" s="79" t="s">
        <v>185</v>
      </c>
      <c r="C51" s="80">
        <v>68210000</v>
      </c>
      <c r="D51" s="78" t="s">
        <v>192</v>
      </c>
      <c r="E51" s="65" t="s">
        <v>18</v>
      </c>
      <c r="F51" s="71">
        <v>56817</v>
      </c>
    </row>
    <row r="52" spans="1:6" ht="26.4" x14ac:dyDescent="0.65">
      <c r="A52" s="65">
        <v>68210015</v>
      </c>
      <c r="B52" s="79" t="s">
        <v>186</v>
      </c>
      <c r="C52" s="80">
        <v>68210000</v>
      </c>
      <c r="D52" s="78" t="s">
        <v>192</v>
      </c>
      <c r="E52" s="65" t="s">
        <v>18</v>
      </c>
      <c r="F52" s="71">
        <v>65484</v>
      </c>
    </row>
    <row r="53" spans="1:6" ht="26.4" x14ac:dyDescent="0.65">
      <c r="A53" s="65">
        <v>68210016</v>
      </c>
      <c r="B53" s="79" t="s">
        <v>187</v>
      </c>
      <c r="C53" s="80">
        <v>68210000</v>
      </c>
      <c r="D53" s="78" t="s">
        <v>192</v>
      </c>
      <c r="E53" s="65" t="s">
        <v>18</v>
      </c>
      <c r="F53" s="71">
        <v>41195</v>
      </c>
    </row>
    <row r="54" spans="1:6" ht="26.4" x14ac:dyDescent="0.65">
      <c r="A54" s="65">
        <v>68210017</v>
      </c>
      <c r="B54" s="81" t="s">
        <v>188</v>
      </c>
      <c r="C54" s="82">
        <v>68210000</v>
      </c>
      <c r="D54" s="78" t="s">
        <v>192</v>
      </c>
      <c r="E54" s="65" t="s">
        <v>18</v>
      </c>
      <c r="F54" s="71">
        <v>433762.5</v>
      </c>
    </row>
    <row r="55" spans="1:6" ht="26.4" x14ac:dyDescent="0.65">
      <c r="A55" s="65">
        <v>68220000</v>
      </c>
      <c r="B55" s="69" t="s">
        <v>189</v>
      </c>
      <c r="C55" s="70">
        <v>68200000</v>
      </c>
      <c r="D55" s="70">
        <v>2</v>
      </c>
      <c r="E55" s="65" t="s">
        <v>16</v>
      </c>
      <c r="F55" s="71">
        <f>+F56+F57</f>
        <v>36682910</v>
      </c>
    </row>
    <row r="56" spans="1:6" ht="77.400000000000006" x14ac:dyDescent="0.65">
      <c r="A56" s="65">
        <v>68220001</v>
      </c>
      <c r="B56" s="75" t="s">
        <v>190</v>
      </c>
      <c r="C56" s="76">
        <v>68220000</v>
      </c>
      <c r="D56" s="78" t="s">
        <v>192</v>
      </c>
      <c r="E56" s="65" t="s">
        <v>18</v>
      </c>
      <c r="F56" s="71">
        <v>1420960</v>
      </c>
    </row>
    <row r="57" spans="1:6" ht="51.6" x14ac:dyDescent="0.65">
      <c r="A57" s="65">
        <v>68220002</v>
      </c>
      <c r="B57" s="75" t="s">
        <v>191</v>
      </c>
      <c r="C57" s="76">
        <v>68220000</v>
      </c>
      <c r="D57" s="78" t="s">
        <v>192</v>
      </c>
      <c r="E57" s="65" t="s">
        <v>18</v>
      </c>
      <c r="F57" s="71">
        <v>35261950</v>
      </c>
    </row>
    <row r="58" spans="1:6" ht="26.4" x14ac:dyDescent="0.65">
      <c r="A58" s="65"/>
      <c r="F58" s="85">
        <f>+F2+F36</f>
        <v>83728099.700000003</v>
      </c>
    </row>
    <row r="59" spans="1:6" x14ac:dyDescent="0.65">
      <c r="A59" s="65"/>
    </row>
    <row r="60" spans="1:6" x14ac:dyDescent="0.65">
      <c r="A60" s="65"/>
    </row>
    <row r="61" spans="1:6" x14ac:dyDescent="0.65">
      <c r="A61" s="65"/>
    </row>
    <row r="62" spans="1:6" x14ac:dyDescent="0.65">
      <c r="A62" s="65"/>
    </row>
    <row r="63" spans="1:6" x14ac:dyDescent="0.65">
      <c r="A63" s="65"/>
    </row>
    <row r="64" spans="1:6" x14ac:dyDescent="0.65">
      <c r="A64" s="65"/>
    </row>
    <row r="65" spans="1:1" x14ac:dyDescent="0.65">
      <c r="A65" s="65"/>
    </row>
    <row r="66" spans="1:1" x14ac:dyDescent="0.65">
      <c r="A66" s="65"/>
    </row>
    <row r="67" spans="1:1" x14ac:dyDescent="0.65">
      <c r="A67" s="65"/>
    </row>
    <row r="68" spans="1:1" x14ac:dyDescent="0.65">
      <c r="A68" s="65"/>
    </row>
    <row r="69" spans="1:1" x14ac:dyDescent="0.65">
      <c r="A69" s="65"/>
    </row>
    <row r="70" spans="1:1" x14ac:dyDescent="0.65">
      <c r="A70" s="65"/>
    </row>
    <row r="71" spans="1:1" x14ac:dyDescent="0.65">
      <c r="A71" s="65"/>
    </row>
    <row r="72" spans="1:1" x14ac:dyDescent="0.65">
      <c r="A72" s="65"/>
    </row>
    <row r="73" spans="1:1" x14ac:dyDescent="0.65">
      <c r="A73" s="65"/>
    </row>
    <row r="74" spans="1:1" x14ac:dyDescent="0.65">
      <c r="A74" s="65"/>
    </row>
    <row r="75" spans="1:1" x14ac:dyDescent="0.65">
      <c r="A75" s="65"/>
    </row>
    <row r="76" spans="1:1" x14ac:dyDescent="0.65">
      <c r="A76" s="65"/>
    </row>
    <row r="77" spans="1:1" x14ac:dyDescent="0.65">
      <c r="A77" s="65"/>
    </row>
    <row r="78" spans="1:1" x14ac:dyDescent="0.65">
      <c r="A78" s="65"/>
    </row>
    <row r="79" spans="1:1" x14ac:dyDescent="0.65">
      <c r="A79" s="65"/>
    </row>
    <row r="80" spans="1:1" x14ac:dyDescent="0.65">
      <c r="A80" s="65"/>
    </row>
    <row r="81" spans="1:1" x14ac:dyDescent="0.65">
      <c r="A81" s="65"/>
    </row>
    <row r="82" spans="1:1" x14ac:dyDescent="0.65">
      <c r="A82" s="65"/>
    </row>
    <row r="83" spans="1:1" x14ac:dyDescent="0.65">
      <c r="A83" s="65"/>
    </row>
    <row r="84" spans="1:1" x14ac:dyDescent="0.65">
      <c r="A84" s="65"/>
    </row>
    <row r="85" spans="1:1" x14ac:dyDescent="0.65">
      <c r="A85" s="65"/>
    </row>
    <row r="86" spans="1:1" x14ac:dyDescent="0.65">
      <c r="A86" s="65"/>
    </row>
    <row r="87" spans="1:1" x14ac:dyDescent="0.65">
      <c r="A87" s="65"/>
    </row>
    <row r="88" spans="1:1" x14ac:dyDescent="0.65">
      <c r="A88" s="65"/>
    </row>
    <row r="89" spans="1:1" x14ac:dyDescent="0.65">
      <c r="A89" s="65"/>
    </row>
    <row r="90" spans="1:1" x14ac:dyDescent="0.65">
      <c r="A90" s="65"/>
    </row>
    <row r="91" spans="1:1" x14ac:dyDescent="0.65">
      <c r="A91" s="65"/>
    </row>
    <row r="92" spans="1:1" x14ac:dyDescent="0.65">
      <c r="A92" s="65"/>
    </row>
    <row r="93" spans="1:1" x14ac:dyDescent="0.65">
      <c r="A93" s="65"/>
    </row>
    <row r="94" spans="1:1" x14ac:dyDescent="0.65">
      <c r="A94" s="65"/>
    </row>
    <row r="95" spans="1:1" x14ac:dyDescent="0.65">
      <c r="A95" s="65"/>
    </row>
    <row r="96" spans="1:1" x14ac:dyDescent="0.65">
      <c r="A96" s="65"/>
    </row>
    <row r="97" spans="1:1" x14ac:dyDescent="0.65">
      <c r="A97" s="65"/>
    </row>
    <row r="98" spans="1:1" x14ac:dyDescent="0.65">
      <c r="A98" s="65"/>
    </row>
    <row r="99" spans="1:1" x14ac:dyDescent="0.65">
      <c r="A99" s="65"/>
    </row>
    <row r="100" spans="1:1" x14ac:dyDescent="0.65">
      <c r="A100" s="65"/>
    </row>
    <row r="101" spans="1:1" x14ac:dyDescent="0.65">
      <c r="A101" s="65"/>
    </row>
    <row r="102" spans="1:1" x14ac:dyDescent="0.65">
      <c r="A102" s="65"/>
    </row>
    <row r="103" spans="1:1" x14ac:dyDescent="0.65">
      <c r="A103" s="65"/>
    </row>
    <row r="104" spans="1:1" x14ac:dyDescent="0.65">
      <c r="A104" s="65"/>
    </row>
    <row r="105" spans="1:1" x14ac:dyDescent="0.65">
      <c r="A105" s="65"/>
    </row>
    <row r="106" spans="1:1" x14ac:dyDescent="0.65">
      <c r="A106" s="65"/>
    </row>
    <row r="107" spans="1:1" x14ac:dyDescent="0.65">
      <c r="A107" s="65"/>
    </row>
    <row r="108" spans="1:1" x14ac:dyDescent="0.65">
      <c r="A108" s="65"/>
    </row>
    <row r="109" spans="1:1" x14ac:dyDescent="0.65">
      <c r="A109" s="65"/>
    </row>
    <row r="110" spans="1:1" x14ac:dyDescent="0.65">
      <c r="A110" s="65"/>
    </row>
    <row r="111" spans="1:1" x14ac:dyDescent="0.65">
      <c r="A111" s="65"/>
    </row>
    <row r="112" spans="1:1" x14ac:dyDescent="0.65">
      <c r="A112" s="65"/>
    </row>
    <row r="113" spans="1:1" x14ac:dyDescent="0.65">
      <c r="A113" s="65"/>
    </row>
    <row r="114" spans="1:1" x14ac:dyDescent="0.65">
      <c r="A114" s="65"/>
    </row>
    <row r="115" spans="1:1" x14ac:dyDescent="0.65">
      <c r="A115" s="65"/>
    </row>
    <row r="116" spans="1:1" x14ac:dyDescent="0.65">
      <c r="A116" s="65"/>
    </row>
    <row r="117" spans="1:1" x14ac:dyDescent="0.65">
      <c r="A117" s="65"/>
    </row>
    <row r="118" spans="1:1" x14ac:dyDescent="0.65">
      <c r="A118" s="65"/>
    </row>
    <row r="119" spans="1:1" x14ac:dyDescent="0.65">
      <c r="A119" s="65"/>
    </row>
    <row r="120" spans="1:1" x14ac:dyDescent="0.65">
      <c r="A120" s="65"/>
    </row>
    <row r="121" spans="1:1" x14ac:dyDescent="0.65">
      <c r="A121" s="65"/>
    </row>
    <row r="122" spans="1:1" x14ac:dyDescent="0.65">
      <c r="A122" s="65"/>
    </row>
    <row r="123" spans="1:1" x14ac:dyDescent="0.65">
      <c r="A123" s="65"/>
    </row>
    <row r="124" spans="1:1" x14ac:dyDescent="0.65">
      <c r="A124" s="65"/>
    </row>
  </sheetData>
  <conditionalFormatting sqref="A1:A1048576">
    <cfRule type="duplicateValues" dxfId="5" priority="3"/>
    <cfRule type="duplicateValues" dxfId="4" priority="4"/>
  </conditionalFormatting>
  <conditionalFormatting sqref="C30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01C2F-9BC6-4A51-9886-3F0881F5E237}">
  <dimension ref="A1:C19"/>
  <sheetViews>
    <sheetView workbookViewId="0">
      <selection activeCell="B19" sqref="B19"/>
    </sheetView>
  </sheetViews>
  <sheetFormatPr defaultRowHeight="13.8" x14ac:dyDescent="0.25"/>
  <cols>
    <col min="1" max="1" width="10.8984375" bestFit="1" customWidth="1"/>
    <col min="2" max="2" width="19.09765625" customWidth="1"/>
  </cols>
  <sheetData>
    <row r="1" spans="1:3" x14ac:dyDescent="0.25">
      <c r="A1" s="86">
        <v>1101030193</v>
      </c>
      <c r="B1" s="87">
        <v>10700</v>
      </c>
      <c r="C1" s="86">
        <v>68111007</v>
      </c>
    </row>
    <row r="2" spans="1:3" x14ac:dyDescent="0.25">
      <c r="A2" s="86">
        <v>1101030193</v>
      </c>
      <c r="B2" s="87">
        <v>7155.62</v>
      </c>
      <c r="C2" s="86">
        <v>68111008</v>
      </c>
    </row>
    <row r="3" spans="1:3" x14ac:dyDescent="0.25">
      <c r="A3" s="86">
        <v>5104010107</v>
      </c>
      <c r="B3" s="87">
        <v>266917.92</v>
      </c>
      <c r="C3" s="86">
        <v>68111011</v>
      </c>
    </row>
    <row r="4" spans="1:3" x14ac:dyDescent="0.25">
      <c r="A4" s="86">
        <v>5104010107</v>
      </c>
      <c r="B4" s="87">
        <v>540300</v>
      </c>
      <c r="C4" s="86">
        <v>68111012</v>
      </c>
    </row>
    <row r="5" spans="1:3" x14ac:dyDescent="0.25">
      <c r="A5" s="86">
        <v>5104010107</v>
      </c>
      <c r="B5" s="87">
        <v>1000000</v>
      </c>
      <c r="C5" s="86">
        <v>68111013</v>
      </c>
    </row>
    <row r="6" spans="1:3" x14ac:dyDescent="0.25">
      <c r="A6" s="86">
        <v>5104010107</v>
      </c>
      <c r="B6" s="87">
        <v>520000</v>
      </c>
      <c r="C6" s="86">
        <v>68111014</v>
      </c>
    </row>
    <row r="7" spans="1:3" x14ac:dyDescent="0.25">
      <c r="A7" s="86">
        <v>5104010112</v>
      </c>
      <c r="B7" s="87">
        <v>605192</v>
      </c>
      <c r="C7" s="86">
        <v>68111001</v>
      </c>
    </row>
    <row r="8" spans="1:3" x14ac:dyDescent="0.25">
      <c r="A8" s="86">
        <v>5104010112</v>
      </c>
      <c r="B8" s="87">
        <v>36064</v>
      </c>
      <c r="C8" s="86">
        <v>68111003</v>
      </c>
    </row>
    <row r="9" spans="1:3" x14ac:dyDescent="0.25">
      <c r="A9" s="86">
        <v>5104010112</v>
      </c>
      <c r="B9" s="87">
        <v>53672.38</v>
      </c>
      <c r="C9" s="86">
        <v>68111004</v>
      </c>
    </row>
    <row r="10" spans="1:3" x14ac:dyDescent="0.25">
      <c r="A10" s="86">
        <v>5104010112</v>
      </c>
      <c r="B10" s="87">
        <v>25720.66</v>
      </c>
      <c r="C10" s="86">
        <v>68111005</v>
      </c>
    </row>
    <row r="11" spans="1:3" x14ac:dyDescent="0.25">
      <c r="A11" s="86">
        <v>5104010112</v>
      </c>
      <c r="B11" s="87">
        <v>4173</v>
      </c>
      <c r="C11" s="86">
        <v>68111010</v>
      </c>
    </row>
    <row r="12" spans="1:3" x14ac:dyDescent="0.25">
      <c r="A12" s="86">
        <v>5104010112</v>
      </c>
      <c r="B12" s="87">
        <v>1413000</v>
      </c>
      <c r="C12" s="86">
        <v>68111017</v>
      </c>
    </row>
    <row r="13" spans="1:3" x14ac:dyDescent="0.25">
      <c r="A13" s="86">
        <v>5104010112</v>
      </c>
      <c r="B13" s="87">
        <v>237500</v>
      </c>
      <c r="C13" s="86">
        <v>68111018</v>
      </c>
    </row>
    <row r="14" spans="1:3" x14ac:dyDescent="0.25">
      <c r="A14" s="86">
        <v>5104010112</v>
      </c>
      <c r="B14" s="87">
        <v>1420960</v>
      </c>
      <c r="C14" s="86">
        <v>68220001</v>
      </c>
    </row>
    <row r="15" spans="1:3" x14ac:dyDescent="0.25">
      <c r="A15" s="86">
        <v>5104030299</v>
      </c>
      <c r="B15" s="87">
        <v>713048</v>
      </c>
      <c r="C15" s="86">
        <v>68112003</v>
      </c>
    </row>
    <row r="16" spans="1:3" x14ac:dyDescent="0.25">
      <c r="A16" s="86">
        <v>5104030299</v>
      </c>
      <c r="B16" s="87">
        <v>69550</v>
      </c>
      <c r="C16" s="86">
        <v>68112004</v>
      </c>
    </row>
    <row r="17" spans="1:3" x14ac:dyDescent="0.25">
      <c r="A17" s="86">
        <v>5104030299</v>
      </c>
      <c r="B17" s="87">
        <v>63130</v>
      </c>
      <c r="C17" s="86">
        <v>68112005</v>
      </c>
    </row>
    <row r="18" spans="1:3" x14ac:dyDescent="0.25">
      <c r="A18" s="86">
        <v>5104030299</v>
      </c>
      <c r="B18" s="87">
        <v>41195</v>
      </c>
      <c r="C18" s="86">
        <v>68210016</v>
      </c>
    </row>
    <row r="19" spans="1:3" x14ac:dyDescent="0.25">
      <c r="B19" s="56">
        <f>SUM(B1:B18)</f>
        <v>7028278.5800000001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935CD-90FF-49EE-8732-2053FB46D7DB}">
  <sheetPr>
    <tabColor rgb="FFFF0000"/>
  </sheetPr>
  <dimension ref="A1:J128"/>
  <sheetViews>
    <sheetView topLeftCell="A94" zoomScale="70" zoomScaleNormal="70" workbookViewId="0">
      <selection activeCell="J108" sqref="J108"/>
    </sheetView>
  </sheetViews>
  <sheetFormatPr defaultColWidth="8.69921875" defaultRowHeight="25.8" x14ac:dyDescent="0.65"/>
  <cols>
    <col min="1" max="1" width="12.5" style="3" customWidth="1"/>
    <col min="2" max="2" width="84.19921875" style="3" customWidth="1"/>
    <col min="3" max="3" width="11.59765625" style="40" bestFit="1" customWidth="1"/>
    <col min="4" max="4" width="6.8984375" style="40" customWidth="1"/>
    <col min="5" max="5" width="8.69921875" style="40" customWidth="1"/>
    <col min="6" max="6" width="17.09765625" style="3" customWidth="1"/>
    <col min="7" max="7" width="12.69921875" style="3" bestFit="1" customWidth="1"/>
    <col min="8" max="8" width="13.8984375" style="54" bestFit="1" customWidth="1"/>
    <col min="9" max="9" width="12.69921875" style="3" bestFit="1" customWidth="1"/>
    <col min="10" max="10" width="12.69921875" style="54" bestFit="1" customWidth="1"/>
    <col min="11" max="16384" width="8.69921875" style="3"/>
  </cols>
  <sheetData>
    <row r="1" spans="1:10" ht="26.4" x14ac:dyDescent="0.7">
      <c r="A1" s="57" t="s">
        <v>87</v>
      </c>
      <c r="B1" s="57" t="s">
        <v>94</v>
      </c>
      <c r="C1" s="58" t="s">
        <v>88</v>
      </c>
      <c r="D1" s="58" t="s">
        <v>89</v>
      </c>
      <c r="E1" s="58" t="s">
        <v>90</v>
      </c>
      <c r="F1" s="57" t="s">
        <v>91</v>
      </c>
    </row>
    <row r="2" spans="1:10" ht="26.4" x14ac:dyDescent="0.65">
      <c r="A2" s="41">
        <v>100000</v>
      </c>
      <c r="B2" s="1" t="s">
        <v>30</v>
      </c>
      <c r="C2" s="41"/>
      <c r="D2" s="25">
        <v>1</v>
      </c>
      <c r="E2" s="26" t="s">
        <v>16</v>
      </c>
      <c r="F2" s="2">
        <f>+F3</f>
        <v>30658649</v>
      </c>
      <c r="G2" s="55"/>
      <c r="H2" s="3"/>
      <c r="J2" s="3"/>
    </row>
    <row r="3" spans="1:10" ht="26.4" x14ac:dyDescent="0.65">
      <c r="A3" s="42">
        <v>110000</v>
      </c>
      <c r="B3" s="4" t="s">
        <v>31</v>
      </c>
      <c r="C3" s="42">
        <v>100000</v>
      </c>
      <c r="D3" s="27">
        <v>2</v>
      </c>
      <c r="E3" s="28" t="s">
        <v>16</v>
      </c>
      <c r="F3" s="5">
        <v>30658649</v>
      </c>
      <c r="G3" s="6"/>
      <c r="H3" s="3"/>
      <c r="J3" s="3"/>
    </row>
    <row r="4" spans="1:10" x14ac:dyDescent="0.65">
      <c r="A4" s="43">
        <v>200000</v>
      </c>
      <c r="B4" s="1" t="s">
        <v>15</v>
      </c>
      <c r="C4" s="43"/>
      <c r="D4" s="29">
        <v>1</v>
      </c>
      <c r="E4" s="26" t="s">
        <v>16</v>
      </c>
      <c r="F4" s="7">
        <f>+F5+F102+F112</f>
        <v>84732582</v>
      </c>
      <c r="G4" s="55"/>
      <c r="H4" s="55"/>
      <c r="J4" s="3"/>
    </row>
    <row r="5" spans="1:10" x14ac:dyDescent="0.65">
      <c r="A5" s="42">
        <v>210000</v>
      </c>
      <c r="B5" s="4" t="s">
        <v>17</v>
      </c>
      <c r="C5" s="42">
        <v>200000</v>
      </c>
      <c r="D5" s="27">
        <v>2</v>
      </c>
      <c r="E5" s="28" t="s">
        <v>16</v>
      </c>
      <c r="F5" s="8">
        <f>+F6+F15+F94</f>
        <v>75709392</v>
      </c>
      <c r="G5" s="55"/>
      <c r="H5" s="55"/>
      <c r="J5" s="3"/>
    </row>
    <row r="6" spans="1:10" ht="26.4" x14ac:dyDescent="0.65">
      <c r="A6" s="44">
        <v>211000</v>
      </c>
      <c r="B6" s="9" t="s">
        <v>0</v>
      </c>
      <c r="C6" s="44">
        <v>210000</v>
      </c>
      <c r="D6" s="30">
        <v>3</v>
      </c>
      <c r="E6" s="31" t="s">
        <v>16</v>
      </c>
      <c r="F6" s="10">
        <f>+F7+F8+F14</f>
        <v>1306000</v>
      </c>
      <c r="G6" s="55"/>
      <c r="H6" s="55"/>
      <c r="J6" s="3"/>
    </row>
    <row r="7" spans="1:10" ht="26.4" x14ac:dyDescent="0.65">
      <c r="A7" s="45">
        <v>211100</v>
      </c>
      <c r="B7" s="11" t="s">
        <v>1</v>
      </c>
      <c r="C7" s="45">
        <v>211000</v>
      </c>
      <c r="D7" s="32">
        <v>4</v>
      </c>
      <c r="E7" s="33" t="s">
        <v>18</v>
      </c>
      <c r="F7" s="12">
        <v>216000</v>
      </c>
    </row>
    <row r="8" spans="1:10" ht="26.4" x14ac:dyDescent="0.65">
      <c r="A8" s="45">
        <v>211200</v>
      </c>
      <c r="B8" s="11" t="s">
        <v>2</v>
      </c>
      <c r="C8" s="45">
        <v>211000</v>
      </c>
      <c r="D8" s="32">
        <v>4</v>
      </c>
      <c r="E8" s="33" t="s">
        <v>16</v>
      </c>
      <c r="F8" s="12">
        <f>SUM(F9:F13)</f>
        <v>812800</v>
      </c>
      <c r="G8" s="55"/>
    </row>
    <row r="9" spans="1:10" x14ac:dyDescent="0.65">
      <c r="A9" s="46">
        <v>211201</v>
      </c>
      <c r="B9" s="13" t="s">
        <v>3</v>
      </c>
      <c r="C9" s="46">
        <v>211200</v>
      </c>
      <c r="D9" s="34">
        <v>5</v>
      </c>
      <c r="E9" s="35" t="s">
        <v>18</v>
      </c>
      <c r="F9" s="14">
        <v>158400</v>
      </c>
    </row>
    <row r="10" spans="1:10" x14ac:dyDescent="0.65">
      <c r="A10" s="46">
        <v>211202</v>
      </c>
      <c r="B10" s="13" t="s">
        <v>4</v>
      </c>
      <c r="C10" s="46">
        <v>211200</v>
      </c>
      <c r="D10" s="34">
        <v>5</v>
      </c>
      <c r="E10" s="35" t="s">
        <v>18</v>
      </c>
      <c r="F10" s="14">
        <v>194400</v>
      </c>
    </row>
    <row r="11" spans="1:10" x14ac:dyDescent="0.65">
      <c r="A11" s="46">
        <v>211203</v>
      </c>
      <c r="B11" s="13" t="s">
        <v>92</v>
      </c>
      <c r="C11" s="46">
        <v>211200</v>
      </c>
      <c r="D11" s="34">
        <v>5</v>
      </c>
      <c r="E11" s="35" t="s">
        <v>18</v>
      </c>
      <c r="F11" s="14">
        <v>196000</v>
      </c>
    </row>
    <row r="12" spans="1:10" x14ac:dyDescent="0.65">
      <c r="A12" s="46">
        <v>211204</v>
      </c>
      <c r="B12" s="13" t="s">
        <v>5</v>
      </c>
      <c r="C12" s="46">
        <v>211200</v>
      </c>
      <c r="D12" s="34">
        <v>5</v>
      </c>
      <c r="E12" s="35" t="s">
        <v>18</v>
      </c>
      <c r="F12" s="14">
        <v>196800</v>
      </c>
    </row>
    <row r="13" spans="1:10" x14ac:dyDescent="0.65">
      <c r="A13" s="46">
        <v>211205</v>
      </c>
      <c r="B13" s="13" t="s">
        <v>6</v>
      </c>
      <c r="C13" s="46">
        <v>211200</v>
      </c>
      <c r="D13" s="34">
        <v>5</v>
      </c>
      <c r="E13" s="35" t="s">
        <v>18</v>
      </c>
      <c r="F13" s="14">
        <v>67200</v>
      </c>
    </row>
    <row r="14" spans="1:10" ht="26.4" x14ac:dyDescent="0.65">
      <c r="A14" s="45">
        <v>211300</v>
      </c>
      <c r="B14" s="11" t="s">
        <v>32</v>
      </c>
      <c r="C14" s="45">
        <v>211000</v>
      </c>
      <c r="D14" s="32">
        <v>4</v>
      </c>
      <c r="E14" s="33" t="s">
        <v>18</v>
      </c>
      <c r="F14" s="12">
        <v>277200</v>
      </c>
    </row>
    <row r="15" spans="1:10" ht="26.4" x14ac:dyDescent="0.65">
      <c r="A15" s="44">
        <v>212000</v>
      </c>
      <c r="B15" s="9" t="s">
        <v>7</v>
      </c>
      <c r="C15" s="44">
        <v>210000</v>
      </c>
      <c r="D15" s="30">
        <v>3</v>
      </c>
      <c r="E15" s="31" t="s">
        <v>16</v>
      </c>
      <c r="F15" s="10">
        <f>+F16+F24+F33+F44+F48+F49+F58+F59+F63+F64+F65+F66+F67+F68+F69+F70+F71+F80+F81+F82+F83+F84+F85+F86+F87+F88+F89+F90+F91+F92+F93</f>
        <v>72156132</v>
      </c>
      <c r="G15" s="55"/>
      <c r="H15" s="55"/>
      <c r="J15" s="3"/>
    </row>
    <row r="16" spans="1:10" ht="26.4" x14ac:dyDescent="0.65">
      <c r="A16" s="45">
        <v>212100</v>
      </c>
      <c r="B16" s="11" t="s">
        <v>8</v>
      </c>
      <c r="C16" s="45">
        <v>212000</v>
      </c>
      <c r="D16" s="32">
        <v>4</v>
      </c>
      <c r="E16" s="33" t="s">
        <v>16</v>
      </c>
      <c r="F16" s="12">
        <f>SUM(F17:F23)</f>
        <v>739260</v>
      </c>
    </row>
    <row r="17" spans="1:10" x14ac:dyDescent="0.65">
      <c r="A17" s="46">
        <v>212101</v>
      </c>
      <c r="B17" s="13" t="s">
        <v>14</v>
      </c>
      <c r="C17" s="46">
        <v>212100</v>
      </c>
      <c r="D17" s="34">
        <v>5</v>
      </c>
      <c r="E17" s="35" t="s">
        <v>18</v>
      </c>
      <c r="F17" s="14">
        <v>32220</v>
      </c>
      <c r="H17" s="60"/>
      <c r="J17" s="60"/>
    </row>
    <row r="18" spans="1:10" x14ac:dyDescent="0.65">
      <c r="A18" s="46">
        <v>212102</v>
      </c>
      <c r="B18" s="13" t="s">
        <v>9</v>
      </c>
      <c r="C18" s="46">
        <v>212100</v>
      </c>
      <c r="D18" s="34">
        <v>5</v>
      </c>
      <c r="E18" s="35" t="s">
        <v>18</v>
      </c>
      <c r="F18" s="14">
        <v>35360</v>
      </c>
    </row>
    <row r="19" spans="1:10" x14ac:dyDescent="0.65">
      <c r="A19" s="46">
        <v>212103</v>
      </c>
      <c r="B19" s="13" t="s">
        <v>10</v>
      </c>
      <c r="C19" s="46">
        <v>212100</v>
      </c>
      <c r="D19" s="34">
        <v>5</v>
      </c>
      <c r="E19" s="35" t="s">
        <v>18</v>
      </c>
      <c r="F19" s="14">
        <v>127680</v>
      </c>
    </row>
    <row r="20" spans="1:10" x14ac:dyDescent="0.65">
      <c r="A20" s="46">
        <v>212104</v>
      </c>
      <c r="B20" s="13" t="s">
        <v>11</v>
      </c>
      <c r="C20" s="46">
        <v>212100</v>
      </c>
      <c r="D20" s="34">
        <v>5</v>
      </c>
      <c r="E20" s="35" t="s">
        <v>18</v>
      </c>
      <c r="F20" s="14">
        <v>102900</v>
      </c>
    </row>
    <row r="21" spans="1:10" x14ac:dyDescent="0.65">
      <c r="A21" s="46">
        <v>212105</v>
      </c>
      <c r="B21" s="13" t="s">
        <v>12</v>
      </c>
      <c r="C21" s="46">
        <v>212100</v>
      </c>
      <c r="D21" s="34">
        <v>5</v>
      </c>
      <c r="E21" s="35" t="s">
        <v>18</v>
      </c>
      <c r="F21" s="14">
        <v>390000</v>
      </c>
    </row>
    <row r="22" spans="1:10" x14ac:dyDescent="0.65">
      <c r="A22" s="46">
        <v>212106</v>
      </c>
      <c r="B22" s="13" t="s">
        <v>13</v>
      </c>
      <c r="C22" s="46">
        <v>212100</v>
      </c>
      <c r="D22" s="34">
        <v>5</v>
      </c>
      <c r="E22" s="35" t="s">
        <v>18</v>
      </c>
      <c r="F22" s="14">
        <v>6440</v>
      </c>
    </row>
    <row r="23" spans="1:10" x14ac:dyDescent="0.65">
      <c r="A23" s="46">
        <v>212107</v>
      </c>
      <c r="B23" s="13" t="s">
        <v>14</v>
      </c>
      <c r="C23" s="46">
        <v>212100</v>
      </c>
      <c r="D23" s="34">
        <v>5</v>
      </c>
      <c r="E23" s="35" t="s">
        <v>18</v>
      </c>
      <c r="F23" s="14">
        <v>44660</v>
      </c>
    </row>
    <row r="24" spans="1:10" ht="26.4" x14ac:dyDescent="0.65">
      <c r="A24" s="45">
        <v>212200</v>
      </c>
      <c r="B24" s="11" t="s">
        <v>19</v>
      </c>
      <c r="C24" s="45">
        <v>212000</v>
      </c>
      <c r="D24" s="32">
        <v>4</v>
      </c>
      <c r="E24" s="33" t="s">
        <v>16</v>
      </c>
      <c r="F24" s="12">
        <f>SUM(F25:F32)</f>
        <v>209175</v>
      </c>
    </row>
    <row r="25" spans="1:10" x14ac:dyDescent="0.65">
      <c r="A25" s="46">
        <v>212201</v>
      </c>
      <c r="B25" s="13" t="s">
        <v>20</v>
      </c>
      <c r="C25" s="46">
        <v>212200</v>
      </c>
      <c r="D25" s="34">
        <v>5</v>
      </c>
      <c r="E25" s="35" t="s">
        <v>18</v>
      </c>
      <c r="F25" s="14">
        <v>22200</v>
      </c>
    </row>
    <row r="26" spans="1:10" x14ac:dyDescent="0.65">
      <c r="A26" s="46">
        <v>212202</v>
      </c>
      <c r="B26" s="13" t="s">
        <v>21</v>
      </c>
      <c r="C26" s="46">
        <v>212200</v>
      </c>
      <c r="D26" s="34">
        <v>5</v>
      </c>
      <c r="E26" s="35" t="s">
        <v>18</v>
      </c>
      <c r="F26" s="14">
        <v>19800</v>
      </c>
    </row>
    <row r="27" spans="1:10" x14ac:dyDescent="0.65">
      <c r="A27" s="46">
        <v>212203</v>
      </c>
      <c r="B27" s="13" t="s">
        <v>22</v>
      </c>
      <c r="C27" s="46">
        <v>212200</v>
      </c>
      <c r="D27" s="34">
        <v>5</v>
      </c>
      <c r="E27" s="35" t="s">
        <v>18</v>
      </c>
      <c r="F27" s="14">
        <v>18600</v>
      </c>
    </row>
    <row r="28" spans="1:10" x14ac:dyDescent="0.65">
      <c r="A28" s="46">
        <v>212204</v>
      </c>
      <c r="B28" s="13" t="s">
        <v>23</v>
      </c>
      <c r="C28" s="46">
        <v>212200</v>
      </c>
      <c r="D28" s="34">
        <v>5</v>
      </c>
      <c r="E28" s="35" t="s">
        <v>18</v>
      </c>
      <c r="F28" s="14">
        <v>57000</v>
      </c>
    </row>
    <row r="29" spans="1:10" x14ac:dyDescent="0.65">
      <c r="A29" s="46">
        <v>212205</v>
      </c>
      <c r="B29" s="13" t="s">
        <v>111</v>
      </c>
      <c r="C29" s="46">
        <v>212200</v>
      </c>
      <c r="D29" s="34">
        <v>5</v>
      </c>
      <c r="E29" s="35" t="s">
        <v>18</v>
      </c>
      <c r="F29" s="14">
        <v>34875</v>
      </c>
    </row>
    <row r="30" spans="1:10" x14ac:dyDescent="0.65">
      <c r="A30" s="46">
        <v>212206</v>
      </c>
      <c r="B30" s="13" t="s">
        <v>24</v>
      </c>
      <c r="C30" s="46">
        <v>212200</v>
      </c>
      <c r="D30" s="34">
        <v>5</v>
      </c>
      <c r="E30" s="35" t="s">
        <v>18</v>
      </c>
      <c r="F30" s="14">
        <v>10500</v>
      </c>
    </row>
    <row r="31" spans="1:10" x14ac:dyDescent="0.65">
      <c r="A31" s="46">
        <v>212207</v>
      </c>
      <c r="B31" s="13" t="s">
        <v>112</v>
      </c>
      <c r="C31" s="46">
        <v>212200</v>
      </c>
      <c r="D31" s="34">
        <v>5</v>
      </c>
      <c r="E31" s="35" t="s">
        <v>18</v>
      </c>
      <c r="F31" s="14">
        <v>31000</v>
      </c>
      <c r="H31" s="60"/>
      <c r="J31" s="60"/>
    </row>
    <row r="32" spans="1:10" x14ac:dyDescent="0.65">
      <c r="A32" s="46">
        <v>212208</v>
      </c>
      <c r="B32" s="13" t="s">
        <v>25</v>
      </c>
      <c r="C32" s="46">
        <v>212200</v>
      </c>
      <c r="D32" s="34">
        <v>5</v>
      </c>
      <c r="E32" s="35" t="s">
        <v>18</v>
      </c>
      <c r="F32" s="14">
        <v>15200</v>
      </c>
    </row>
    <row r="33" spans="1:10" ht="26.4" x14ac:dyDescent="0.65">
      <c r="A33" s="45">
        <v>212300</v>
      </c>
      <c r="B33" s="11" t="s">
        <v>26</v>
      </c>
      <c r="C33" s="45">
        <v>212000</v>
      </c>
      <c r="D33" s="32">
        <v>4</v>
      </c>
      <c r="E33" s="33" t="s">
        <v>16</v>
      </c>
      <c r="F33" s="15">
        <f>SUM(F34:F42)</f>
        <v>1798910</v>
      </c>
      <c r="H33" s="60"/>
    </row>
    <row r="34" spans="1:10" x14ac:dyDescent="0.65">
      <c r="A34" s="46">
        <v>212301</v>
      </c>
      <c r="B34" s="13" t="s">
        <v>113</v>
      </c>
      <c r="C34" s="46">
        <v>212300</v>
      </c>
      <c r="D34" s="34">
        <v>5</v>
      </c>
      <c r="E34" s="35" t="s">
        <v>18</v>
      </c>
      <c r="F34" s="16">
        <v>600000</v>
      </c>
      <c r="H34" s="60"/>
    </row>
    <row r="35" spans="1:10" x14ac:dyDescent="0.65">
      <c r="A35" s="46">
        <v>212302</v>
      </c>
      <c r="B35" s="13" t="s">
        <v>114</v>
      </c>
      <c r="C35" s="46">
        <v>212300</v>
      </c>
      <c r="D35" s="34">
        <v>5</v>
      </c>
      <c r="E35" s="35" t="s">
        <v>18</v>
      </c>
      <c r="F35" s="16">
        <v>500800</v>
      </c>
      <c r="H35" s="60"/>
    </row>
    <row r="36" spans="1:10" x14ac:dyDescent="0.65">
      <c r="A36" s="46">
        <v>212303</v>
      </c>
      <c r="B36" s="13" t="s">
        <v>33</v>
      </c>
      <c r="C36" s="46">
        <v>212300</v>
      </c>
      <c r="D36" s="34">
        <v>5</v>
      </c>
      <c r="E36" s="35" t="s">
        <v>18</v>
      </c>
      <c r="F36" s="16">
        <v>68110</v>
      </c>
      <c r="H36" s="60"/>
    </row>
    <row r="37" spans="1:10" x14ac:dyDescent="0.65">
      <c r="A37" s="46">
        <v>212304</v>
      </c>
      <c r="B37" s="13" t="s">
        <v>115</v>
      </c>
      <c r="C37" s="46">
        <v>212300</v>
      </c>
      <c r="D37" s="34">
        <v>5</v>
      </c>
      <c r="E37" s="35" t="s">
        <v>18</v>
      </c>
      <c r="F37" s="16">
        <v>60000</v>
      </c>
      <c r="H37" s="60"/>
    </row>
    <row r="38" spans="1:10" x14ac:dyDescent="0.65">
      <c r="A38" s="46">
        <v>212305</v>
      </c>
      <c r="B38" s="13" t="s">
        <v>34</v>
      </c>
      <c r="C38" s="46">
        <v>212300</v>
      </c>
      <c r="D38" s="34">
        <v>5</v>
      </c>
      <c r="E38" s="35" t="s">
        <v>18</v>
      </c>
      <c r="F38" s="16">
        <v>135000</v>
      </c>
      <c r="H38" s="60"/>
    </row>
    <row r="39" spans="1:10" x14ac:dyDescent="0.65">
      <c r="A39" s="46">
        <v>212306</v>
      </c>
      <c r="B39" s="13" t="s">
        <v>35</v>
      </c>
      <c r="C39" s="46">
        <v>212300</v>
      </c>
      <c r="D39" s="34">
        <v>5</v>
      </c>
      <c r="E39" s="35" t="s">
        <v>18</v>
      </c>
      <c r="F39" s="16">
        <v>240000</v>
      </c>
      <c r="H39" s="60"/>
    </row>
    <row r="40" spans="1:10" x14ac:dyDescent="0.65">
      <c r="A40" s="46">
        <v>212307</v>
      </c>
      <c r="B40" s="13" t="s">
        <v>36</v>
      </c>
      <c r="C40" s="46">
        <v>212300</v>
      </c>
      <c r="D40" s="34">
        <v>5</v>
      </c>
      <c r="E40" s="35" t="s">
        <v>18</v>
      </c>
      <c r="F40" s="16">
        <v>130000</v>
      </c>
      <c r="H40" s="60"/>
    </row>
    <row r="41" spans="1:10" x14ac:dyDescent="0.65">
      <c r="A41" s="46">
        <v>212308</v>
      </c>
      <c r="B41" s="13" t="s">
        <v>116</v>
      </c>
      <c r="C41" s="46">
        <v>212300</v>
      </c>
      <c r="D41" s="34">
        <v>5</v>
      </c>
      <c r="E41" s="35" t="s">
        <v>18</v>
      </c>
      <c r="F41" s="16">
        <v>20000</v>
      </c>
      <c r="H41" s="60"/>
    </row>
    <row r="42" spans="1:10" x14ac:dyDescent="0.65">
      <c r="A42" s="46">
        <v>212309</v>
      </c>
      <c r="B42" s="13" t="s">
        <v>37</v>
      </c>
      <c r="C42" s="46">
        <v>212300</v>
      </c>
      <c r="D42" s="34">
        <v>5</v>
      </c>
      <c r="E42" s="35" t="s">
        <v>18</v>
      </c>
      <c r="F42" s="16">
        <v>45000</v>
      </c>
      <c r="H42" s="60"/>
    </row>
    <row r="43" spans="1:10" ht="26.4" x14ac:dyDescent="0.65">
      <c r="A43" s="45">
        <v>212400</v>
      </c>
      <c r="B43" s="11" t="s">
        <v>27</v>
      </c>
      <c r="C43" s="45"/>
      <c r="D43" s="32">
        <v>4</v>
      </c>
      <c r="E43" s="33" t="s">
        <v>16</v>
      </c>
      <c r="F43" s="12"/>
      <c r="G43" s="55"/>
      <c r="H43" s="60"/>
    </row>
    <row r="44" spans="1:10" ht="26.4" x14ac:dyDescent="0.65">
      <c r="A44" s="46">
        <v>212410</v>
      </c>
      <c r="B44" s="13" t="s">
        <v>38</v>
      </c>
      <c r="C44" s="46">
        <v>212000</v>
      </c>
      <c r="D44" s="34">
        <v>5</v>
      </c>
      <c r="E44" s="35" t="s">
        <v>16</v>
      </c>
      <c r="F44" s="17">
        <f>SUM(F45:F47)</f>
        <v>9149800</v>
      </c>
      <c r="G44" s="55"/>
      <c r="H44" s="60"/>
    </row>
    <row r="45" spans="1:10" x14ac:dyDescent="0.65">
      <c r="A45" s="47">
        <v>212411</v>
      </c>
      <c r="B45" s="18" t="s">
        <v>39</v>
      </c>
      <c r="C45" s="47">
        <v>212410</v>
      </c>
      <c r="D45" s="36">
        <v>6</v>
      </c>
      <c r="E45" s="37" t="s">
        <v>18</v>
      </c>
      <c r="F45" s="19">
        <v>9000000</v>
      </c>
      <c r="G45" s="55"/>
      <c r="H45" s="60"/>
      <c r="I45" s="55"/>
      <c r="J45" s="3"/>
    </row>
    <row r="46" spans="1:10" x14ac:dyDescent="0.65">
      <c r="A46" s="47">
        <v>212412</v>
      </c>
      <c r="B46" s="18" t="s">
        <v>1</v>
      </c>
      <c r="C46" s="47">
        <v>212410</v>
      </c>
      <c r="D46" s="36">
        <v>6</v>
      </c>
      <c r="E46" s="37" t="s">
        <v>18</v>
      </c>
      <c r="F46" s="19">
        <v>89400</v>
      </c>
      <c r="H46" s="60"/>
      <c r="J46" s="3"/>
    </row>
    <row r="47" spans="1:10" x14ac:dyDescent="0.65">
      <c r="A47" s="47">
        <v>212413</v>
      </c>
      <c r="B47" s="18" t="s">
        <v>8</v>
      </c>
      <c r="C47" s="47">
        <v>212410</v>
      </c>
      <c r="D47" s="36">
        <v>6</v>
      </c>
      <c r="E47" s="37" t="s">
        <v>18</v>
      </c>
      <c r="F47" s="19">
        <v>60400</v>
      </c>
      <c r="H47" s="60"/>
      <c r="J47" s="3"/>
    </row>
    <row r="48" spans="1:10" ht="26.4" x14ac:dyDescent="0.65">
      <c r="A48" s="46">
        <v>212420</v>
      </c>
      <c r="B48" s="13" t="s">
        <v>40</v>
      </c>
      <c r="C48" s="46">
        <v>212000</v>
      </c>
      <c r="D48" s="34">
        <v>5</v>
      </c>
      <c r="E48" s="35" t="s">
        <v>16</v>
      </c>
      <c r="F48" s="17">
        <v>33105600</v>
      </c>
      <c r="G48" s="55"/>
      <c r="H48" s="60"/>
    </row>
    <row r="49" spans="1:10" ht="26.4" x14ac:dyDescent="0.65">
      <c r="A49" s="46">
        <v>212430</v>
      </c>
      <c r="B49" s="13" t="s">
        <v>41</v>
      </c>
      <c r="C49" s="46">
        <v>212000</v>
      </c>
      <c r="D49" s="34">
        <v>5</v>
      </c>
      <c r="E49" s="35" t="s">
        <v>16</v>
      </c>
      <c r="F49" s="17">
        <f>SUM(F50:F57)</f>
        <v>6382440</v>
      </c>
      <c r="G49" s="55"/>
      <c r="H49" s="60"/>
      <c r="I49" s="55"/>
    </row>
    <row r="50" spans="1:10" x14ac:dyDescent="0.65">
      <c r="A50" s="47">
        <v>212431</v>
      </c>
      <c r="B50" s="18" t="s">
        <v>42</v>
      </c>
      <c r="C50" s="47">
        <v>212430</v>
      </c>
      <c r="D50" s="36">
        <v>6</v>
      </c>
      <c r="E50" s="37" t="s">
        <v>18</v>
      </c>
      <c r="F50" s="20">
        <v>960000</v>
      </c>
      <c r="H50" s="60"/>
      <c r="I50" s="55"/>
      <c r="J50" s="3"/>
    </row>
    <row r="51" spans="1:10" x14ac:dyDescent="0.65">
      <c r="A51" s="47">
        <v>212432</v>
      </c>
      <c r="B51" s="18" t="s">
        <v>43</v>
      </c>
      <c r="C51" s="47">
        <v>212430</v>
      </c>
      <c r="D51" s="36">
        <v>6</v>
      </c>
      <c r="E51" s="37" t="s">
        <v>18</v>
      </c>
      <c r="F51" s="20">
        <v>840000</v>
      </c>
      <c r="H51" s="60"/>
      <c r="I51" s="55"/>
      <c r="J51" s="3"/>
    </row>
    <row r="52" spans="1:10" x14ac:dyDescent="0.65">
      <c r="A52" s="47">
        <v>212433</v>
      </c>
      <c r="B52" s="18" t="s">
        <v>44</v>
      </c>
      <c r="C52" s="47">
        <v>212430</v>
      </c>
      <c r="D52" s="36">
        <v>6</v>
      </c>
      <c r="E52" s="37" t="s">
        <v>18</v>
      </c>
      <c r="F52" s="20">
        <v>720000</v>
      </c>
      <c r="H52" s="60"/>
      <c r="I52" s="55"/>
      <c r="J52" s="3"/>
    </row>
    <row r="53" spans="1:10" x14ac:dyDescent="0.65">
      <c r="A53" s="47">
        <v>212434</v>
      </c>
      <c r="B53" s="18" t="s">
        <v>45</v>
      </c>
      <c r="C53" s="47">
        <v>212430</v>
      </c>
      <c r="D53" s="36">
        <v>6</v>
      </c>
      <c r="E53" s="37" t="s">
        <v>18</v>
      </c>
      <c r="F53" s="20">
        <v>720000</v>
      </c>
      <c r="H53" s="60"/>
      <c r="J53" s="3"/>
    </row>
    <row r="54" spans="1:10" x14ac:dyDescent="0.65">
      <c r="A54" s="47">
        <v>212435</v>
      </c>
      <c r="B54" s="18" t="s">
        <v>46</v>
      </c>
      <c r="C54" s="47">
        <v>212430</v>
      </c>
      <c r="D54" s="36">
        <v>6</v>
      </c>
      <c r="E54" s="37" t="s">
        <v>18</v>
      </c>
      <c r="F54" s="20">
        <v>720000</v>
      </c>
      <c r="H54" s="60"/>
      <c r="J54" s="3"/>
    </row>
    <row r="55" spans="1:10" x14ac:dyDescent="0.65">
      <c r="A55" s="47">
        <v>212436</v>
      </c>
      <c r="B55" s="18" t="s">
        <v>47</v>
      </c>
      <c r="C55" s="47">
        <v>212430</v>
      </c>
      <c r="D55" s="36">
        <v>6</v>
      </c>
      <c r="E55" s="37" t="s">
        <v>18</v>
      </c>
      <c r="F55" s="20">
        <v>720000</v>
      </c>
      <c r="H55" s="60"/>
      <c r="J55" s="3"/>
    </row>
    <row r="56" spans="1:10" x14ac:dyDescent="0.65">
      <c r="A56" s="47">
        <v>212437</v>
      </c>
      <c r="B56" s="18" t="s">
        <v>48</v>
      </c>
      <c r="C56" s="47">
        <v>212430</v>
      </c>
      <c r="D56" s="36">
        <v>6</v>
      </c>
      <c r="E56" s="37" t="s">
        <v>18</v>
      </c>
      <c r="F56" s="20">
        <v>1680000</v>
      </c>
      <c r="H56" s="60"/>
      <c r="J56" s="3"/>
    </row>
    <row r="57" spans="1:10" x14ac:dyDescent="0.65">
      <c r="A57" s="47">
        <v>212438</v>
      </c>
      <c r="B57" s="18" t="s">
        <v>49</v>
      </c>
      <c r="C57" s="47">
        <v>212430</v>
      </c>
      <c r="D57" s="36">
        <v>6</v>
      </c>
      <c r="E57" s="37" t="s">
        <v>18</v>
      </c>
      <c r="F57" s="20">
        <v>22440</v>
      </c>
      <c r="H57" s="60"/>
      <c r="J57" s="3"/>
    </row>
    <row r="58" spans="1:10" ht="26.4" x14ac:dyDescent="0.65">
      <c r="A58" s="45">
        <v>212500</v>
      </c>
      <c r="B58" s="11" t="s">
        <v>50</v>
      </c>
      <c r="C58" s="45">
        <v>212000</v>
      </c>
      <c r="D58" s="32">
        <v>4</v>
      </c>
      <c r="E58" s="33" t="s">
        <v>18</v>
      </c>
      <c r="F58" s="12">
        <v>504000</v>
      </c>
      <c r="H58" s="60"/>
      <c r="I58" s="55"/>
    </row>
    <row r="59" spans="1:10" ht="26.4" x14ac:dyDescent="0.65">
      <c r="A59" s="46">
        <v>212510</v>
      </c>
      <c r="B59" s="13" t="s">
        <v>51</v>
      </c>
      <c r="C59" s="46">
        <v>212000</v>
      </c>
      <c r="D59" s="34">
        <v>5</v>
      </c>
      <c r="E59" s="35" t="s">
        <v>16</v>
      </c>
      <c r="F59" s="17">
        <f>SUM(F60:F62)</f>
        <v>713580</v>
      </c>
      <c r="G59" s="55"/>
      <c r="H59" s="60"/>
    </row>
    <row r="60" spans="1:10" x14ac:dyDescent="0.65">
      <c r="A60" s="47">
        <v>212511</v>
      </c>
      <c r="B60" s="18" t="s">
        <v>39</v>
      </c>
      <c r="C60" s="47">
        <v>212510</v>
      </c>
      <c r="D60" s="36">
        <v>6</v>
      </c>
      <c r="E60" s="37" t="s">
        <v>18</v>
      </c>
      <c r="F60" s="20">
        <v>612000</v>
      </c>
      <c r="H60" s="60"/>
      <c r="J60" s="3"/>
    </row>
    <row r="61" spans="1:10" x14ac:dyDescent="0.65">
      <c r="A61" s="47">
        <v>212512</v>
      </c>
      <c r="B61" s="18" t="s">
        <v>8</v>
      </c>
      <c r="C61" s="47">
        <v>212510</v>
      </c>
      <c r="D61" s="36">
        <v>6</v>
      </c>
      <c r="E61" s="37" t="s">
        <v>18</v>
      </c>
      <c r="F61" s="20">
        <v>92880</v>
      </c>
      <c r="H61" s="60"/>
      <c r="J61" s="3"/>
    </row>
    <row r="62" spans="1:10" x14ac:dyDescent="0.65">
      <c r="A62" s="47">
        <v>212513</v>
      </c>
      <c r="B62" s="18" t="s">
        <v>1</v>
      </c>
      <c r="C62" s="47">
        <v>212510</v>
      </c>
      <c r="D62" s="36">
        <v>6</v>
      </c>
      <c r="E62" s="37" t="s">
        <v>18</v>
      </c>
      <c r="F62" s="20">
        <v>8700</v>
      </c>
      <c r="H62" s="60"/>
      <c r="J62" s="3"/>
    </row>
    <row r="63" spans="1:10" ht="26.4" x14ac:dyDescent="0.65">
      <c r="A63" s="45">
        <v>212600</v>
      </c>
      <c r="B63" s="11" t="s">
        <v>52</v>
      </c>
      <c r="C63" s="45">
        <v>212000</v>
      </c>
      <c r="D63" s="32">
        <v>4</v>
      </c>
      <c r="E63" s="33" t="s">
        <v>18</v>
      </c>
      <c r="F63" s="12">
        <v>420000</v>
      </c>
      <c r="H63" s="60"/>
    </row>
    <row r="64" spans="1:10" ht="26.4" x14ac:dyDescent="0.65">
      <c r="A64" s="45">
        <v>212700</v>
      </c>
      <c r="B64" s="11" t="s">
        <v>53</v>
      </c>
      <c r="C64" s="45">
        <v>212000</v>
      </c>
      <c r="D64" s="32">
        <v>4</v>
      </c>
      <c r="E64" s="33" t="s">
        <v>18</v>
      </c>
      <c r="F64" s="12">
        <v>488940</v>
      </c>
      <c r="H64" s="60"/>
    </row>
    <row r="65" spans="1:10" ht="26.4" x14ac:dyDescent="0.65">
      <c r="A65" s="45">
        <v>212800</v>
      </c>
      <c r="B65" s="11" t="s">
        <v>54</v>
      </c>
      <c r="C65" s="45">
        <v>212000</v>
      </c>
      <c r="D65" s="32">
        <v>4</v>
      </c>
      <c r="E65" s="33" t="s">
        <v>18</v>
      </c>
      <c r="F65" s="12">
        <v>120000</v>
      </c>
      <c r="H65" s="60"/>
    </row>
    <row r="66" spans="1:10" ht="26.4" x14ac:dyDescent="0.65">
      <c r="A66" s="45">
        <v>212900</v>
      </c>
      <c r="B66" s="11" t="s">
        <v>117</v>
      </c>
      <c r="C66" s="45">
        <v>212000</v>
      </c>
      <c r="D66" s="32">
        <v>4</v>
      </c>
      <c r="E66" s="33" t="s">
        <v>18</v>
      </c>
      <c r="F66" s="12">
        <v>320000</v>
      </c>
      <c r="H66" s="60"/>
    </row>
    <row r="67" spans="1:10" ht="26.4" x14ac:dyDescent="0.65">
      <c r="A67" s="45">
        <v>212110</v>
      </c>
      <c r="B67" s="11" t="s">
        <v>118</v>
      </c>
      <c r="C67" s="45">
        <v>212000</v>
      </c>
      <c r="D67" s="32">
        <v>4</v>
      </c>
      <c r="E67" s="33" t="s">
        <v>18</v>
      </c>
      <c r="F67" s="12">
        <v>35000</v>
      </c>
      <c r="H67" s="60"/>
    </row>
    <row r="68" spans="1:10" ht="26.4" x14ac:dyDescent="0.65">
      <c r="A68" s="45">
        <v>212120</v>
      </c>
      <c r="B68" s="11" t="s">
        <v>28</v>
      </c>
      <c r="C68" s="45">
        <v>212000</v>
      </c>
      <c r="D68" s="32">
        <v>4</v>
      </c>
      <c r="E68" s="33" t="s">
        <v>18</v>
      </c>
      <c r="F68" s="12">
        <v>100000</v>
      </c>
    </row>
    <row r="69" spans="1:10" ht="26.4" x14ac:dyDescent="0.65">
      <c r="A69" s="45">
        <v>212130</v>
      </c>
      <c r="B69" s="11" t="s">
        <v>29</v>
      </c>
      <c r="C69" s="45">
        <v>212000</v>
      </c>
      <c r="D69" s="32">
        <v>4</v>
      </c>
      <c r="E69" s="33" t="s">
        <v>18</v>
      </c>
      <c r="F69" s="12">
        <v>30000</v>
      </c>
    </row>
    <row r="70" spans="1:10" ht="26.4" x14ac:dyDescent="0.65">
      <c r="A70" s="45">
        <v>212140</v>
      </c>
      <c r="B70" s="11" t="s">
        <v>55</v>
      </c>
      <c r="C70" s="45">
        <v>212000</v>
      </c>
      <c r="D70" s="32">
        <v>4</v>
      </c>
      <c r="E70" s="33" t="s">
        <v>18</v>
      </c>
      <c r="F70" s="12">
        <v>600000</v>
      </c>
    </row>
    <row r="71" spans="1:10" ht="26.4" x14ac:dyDescent="0.65">
      <c r="A71" s="45">
        <v>212150</v>
      </c>
      <c r="B71" s="11" t="s">
        <v>56</v>
      </c>
      <c r="C71" s="45">
        <v>212000</v>
      </c>
      <c r="D71" s="32">
        <v>4</v>
      </c>
      <c r="E71" s="33" t="s">
        <v>16</v>
      </c>
      <c r="F71" s="12">
        <f>+F72+F75+F76+F77+F78+F79</f>
        <v>12636690</v>
      </c>
    </row>
    <row r="72" spans="1:10" x14ac:dyDescent="0.65">
      <c r="A72" s="46">
        <v>212151</v>
      </c>
      <c r="B72" s="13" t="s">
        <v>57</v>
      </c>
      <c r="C72" s="46">
        <v>212150</v>
      </c>
      <c r="D72" s="34">
        <v>5</v>
      </c>
      <c r="E72" s="35" t="s">
        <v>16</v>
      </c>
      <c r="F72" s="14">
        <f>+F73+F74</f>
        <v>543694</v>
      </c>
    </row>
    <row r="73" spans="1:10" x14ac:dyDescent="0.65">
      <c r="A73" s="47">
        <v>2121511</v>
      </c>
      <c r="B73" s="18" t="s">
        <v>58</v>
      </c>
      <c r="C73" s="47">
        <v>212151</v>
      </c>
      <c r="D73" s="36">
        <v>6</v>
      </c>
      <c r="E73" s="37" t="s">
        <v>18</v>
      </c>
      <c r="F73" s="20">
        <v>540840</v>
      </c>
      <c r="J73" s="3"/>
    </row>
    <row r="74" spans="1:10" x14ac:dyDescent="0.65">
      <c r="A74" s="47">
        <v>2121512</v>
      </c>
      <c r="B74" s="18" t="s">
        <v>59</v>
      </c>
      <c r="C74" s="47">
        <v>212151</v>
      </c>
      <c r="D74" s="36">
        <v>6</v>
      </c>
      <c r="E74" s="37" t="s">
        <v>18</v>
      </c>
      <c r="F74" s="20">
        <v>2854</v>
      </c>
      <c r="J74" s="3"/>
    </row>
    <row r="75" spans="1:10" x14ac:dyDescent="0.65">
      <c r="A75" s="46">
        <v>212152</v>
      </c>
      <c r="B75" s="13" t="s">
        <v>60</v>
      </c>
      <c r="C75" s="46">
        <v>212150</v>
      </c>
      <c r="D75" s="34">
        <v>5</v>
      </c>
      <c r="E75" s="35" t="s">
        <v>18</v>
      </c>
      <c r="F75" s="14">
        <v>11566400</v>
      </c>
    </row>
    <row r="76" spans="1:10" x14ac:dyDescent="0.65">
      <c r="A76" s="46">
        <v>212153</v>
      </c>
      <c r="B76" s="13" t="s">
        <v>61</v>
      </c>
      <c r="C76" s="46">
        <v>212150</v>
      </c>
      <c r="D76" s="34">
        <v>5</v>
      </c>
      <c r="E76" s="35" t="s">
        <v>18</v>
      </c>
      <c r="F76" s="14">
        <v>256800</v>
      </c>
    </row>
    <row r="77" spans="1:10" x14ac:dyDescent="0.65">
      <c r="A77" s="46">
        <v>212154</v>
      </c>
      <c r="B77" s="13" t="s">
        <v>62</v>
      </c>
      <c r="C77" s="46">
        <v>212150</v>
      </c>
      <c r="D77" s="34">
        <v>5</v>
      </c>
      <c r="E77" s="35" t="s">
        <v>18</v>
      </c>
      <c r="F77" s="14">
        <v>128400</v>
      </c>
    </row>
    <row r="78" spans="1:10" x14ac:dyDescent="0.65">
      <c r="A78" s="46">
        <v>212155</v>
      </c>
      <c r="B78" s="13" t="s">
        <v>63</v>
      </c>
      <c r="C78" s="46">
        <v>212150</v>
      </c>
      <c r="D78" s="34">
        <v>5</v>
      </c>
      <c r="E78" s="35" t="s">
        <v>18</v>
      </c>
      <c r="F78" s="14">
        <v>60000</v>
      </c>
    </row>
    <row r="79" spans="1:10" x14ac:dyDescent="0.65">
      <c r="A79" s="46">
        <v>212156</v>
      </c>
      <c r="B79" s="13" t="s">
        <v>64</v>
      </c>
      <c r="C79" s="46">
        <v>212150</v>
      </c>
      <c r="D79" s="34">
        <v>5</v>
      </c>
      <c r="E79" s="35" t="s">
        <v>18</v>
      </c>
      <c r="F79" s="14">
        <v>81396</v>
      </c>
    </row>
    <row r="80" spans="1:10" ht="26.4" x14ac:dyDescent="0.65">
      <c r="A80" s="45">
        <v>212160</v>
      </c>
      <c r="B80" s="11" t="s">
        <v>65</v>
      </c>
      <c r="C80" s="45">
        <v>212000</v>
      </c>
      <c r="D80" s="32">
        <v>4</v>
      </c>
      <c r="E80" s="33" t="s">
        <v>18</v>
      </c>
      <c r="F80" s="12">
        <v>285312</v>
      </c>
    </row>
    <row r="81" spans="1:10" ht="26.4" x14ac:dyDescent="0.65">
      <c r="A81" s="45">
        <v>212170</v>
      </c>
      <c r="B81" s="11" t="s">
        <v>119</v>
      </c>
      <c r="C81" s="45">
        <v>212000</v>
      </c>
      <c r="D81" s="32">
        <v>4</v>
      </c>
      <c r="E81" s="33" t="s">
        <v>18</v>
      </c>
      <c r="F81" s="12">
        <v>150000</v>
      </c>
    </row>
    <row r="82" spans="1:10" ht="26.4" x14ac:dyDescent="0.65">
      <c r="A82" s="45">
        <v>212180</v>
      </c>
      <c r="B82" s="11" t="s">
        <v>66</v>
      </c>
      <c r="C82" s="45">
        <v>212000</v>
      </c>
      <c r="D82" s="32">
        <v>4</v>
      </c>
      <c r="E82" s="33" t="s">
        <v>18</v>
      </c>
      <c r="F82" s="12">
        <v>2400</v>
      </c>
    </row>
    <row r="83" spans="1:10" ht="26.4" x14ac:dyDescent="0.65">
      <c r="A83" s="45">
        <v>212190</v>
      </c>
      <c r="B83" s="11" t="s">
        <v>67</v>
      </c>
      <c r="C83" s="45">
        <v>212000</v>
      </c>
      <c r="D83" s="32">
        <v>4</v>
      </c>
      <c r="E83" s="33" t="s">
        <v>18</v>
      </c>
      <c r="F83" s="12">
        <v>24000</v>
      </c>
    </row>
    <row r="84" spans="1:10" ht="26.4" x14ac:dyDescent="0.65">
      <c r="A84" s="45">
        <v>212210</v>
      </c>
      <c r="B84" s="11" t="s">
        <v>68</v>
      </c>
      <c r="C84" s="45">
        <v>212000</v>
      </c>
      <c r="D84" s="32">
        <v>4</v>
      </c>
      <c r="E84" s="33" t="s">
        <v>18</v>
      </c>
      <c r="F84" s="12">
        <v>749250</v>
      </c>
    </row>
    <row r="85" spans="1:10" ht="26.4" x14ac:dyDescent="0.65">
      <c r="A85" s="45">
        <v>212220</v>
      </c>
      <c r="B85" s="11" t="s">
        <v>69</v>
      </c>
      <c r="C85" s="45">
        <v>212000</v>
      </c>
      <c r="D85" s="32">
        <v>4</v>
      </c>
      <c r="E85" s="33" t="s">
        <v>18</v>
      </c>
      <c r="F85" s="12">
        <v>20000</v>
      </c>
    </row>
    <row r="86" spans="1:10" ht="26.4" x14ac:dyDescent="0.65">
      <c r="A86" s="45">
        <v>212230</v>
      </c>
      <c r="B86" s="11" t="s">
        <v>70</v>
      </c>
      <c r="C86" s="45">
        <v>212000</v>
      </c>
      <c r="D86" s="32">
        <v>4</v>
      </c>
      <c r="E86" s="33" t="s">
        <v>18</v>
      </c>
      <c r="F86" s="12">
        <v>500000</v>
      </c>
    </row>
    <row r="87" spans="1:10" ht="26.4" x14ac:dyDescent="0.65">
      <c r="A87" s="45">
        <v>212240</v>
      </c>
      <c r="B87" s="11" t="s">
        <v>71</v>
      </c>
      <c r="C87" s="45">
        <v>212000</v>
      </c>
      <c r="D87" s="32">
        <v>4</v>
      </c>
      <c r="E87" s="33" t="s">
        <v>18</v>
      </c>
      <c r="F87" s="12">
        <v>1600</v>
      </c>
    </row>
    <row r="88" spans="1:10" ht="26.4" x14ac:dyDescent="0.65">
      <c r="A88" s="45">
        <v>212250</v>
      </c>
      <c r="B88" s="11" t="s">
        <v>120</v>
      </c>
      <c r="C88" s="45">
        <v>212000</v>
      </c>
      <c r="D88" s="32">
        <v>4</v>
      </c>
      <c r="E88" s="33" t="s">
        <v>18</v>
      </c>
      <c r="F88" s="12">
        <v>1607675</v>
      </c>
    </row>
    <row r="89" spans="1:10" ht="26.4" x14ac:dyDescent="0.65">
      <c r="A89" s="45">
        <v>212260</v>
      </c>
      <c r="B89" s="11" t="s">
        <v>121</v>
      </c>
      <c r="C89" s="45">
        <v>212000</v>
      </c>
      <c r="D89" s="32">
        <v>4</v>
      </c>
      <c r="E89" s="33" t="s">
        <v>18</v>
      </c>
      <c r="F89" s="12">
        <v>885000</v>
      </c>
    </row>
    <row r="90" spans="1:10" ht="26.4" x14ac:dyDescent="0.65">
      <c r="A90" s="45">
        <v>212270</v>
      </c>
      <c r="B90" s="11" t="s">
        <v>122</v>
      </c>
      <c r="C90" s="45">
        <v>212000</v>
      </c>
      <c r="D90" s="32">
        <v>4</v>
      </c>
      <c r="E90" s="33" t="s">
        <v>18</v>
      </c>
      <c r="F90" s="12">
        <v>430000</v>
      </c>
    </row>
    <row r="91" spans="1:10" ht="26.4" x14ac:dyDescent="0.65">
      <c r="A91" s="45">
        <v>212280</v>
      </c>
      <c r="B91" s="11" t="s">
        <v>123</v>
      </c>
      <c r="C91" s="45">
        <v>212000</v>
      </c>
      <c r="D91" s="32">
        <v>4</v>
      </c>
      <c r="E91" s="33" t="s">
        <v>18</v>
      </c>
      <c r="F91" s="12">
        <v>25000</v>
      </c>
    </row>
    <row r="92" spans="1:10" ht="26.4" x14ac:dyDescent="0.65">
      <c r="A92" s="45">
        <v>212310</v>
      </c>
      <c r="B92" s="11" t="s">
        <v>124</v>
      </c>
      <c r="C92" s="45">
        <v>212000</v>
      </c>
      <c r="D92" s="32">
        <v>4</v>
      </c>
      <c r="E92" s="33" t="s">
        <v>18</v>
      </c>
      <c r="F92" s="12">
        <v>40000</v>
      </c>
    </row>
    <row r="93" spans="1:10" ht="26.4" x14ac:dyDescent="0.65">
      <c r="A93" s="45">
        <v>212320</v>
      </c>
      <c r="B93" s="11" t="s">
        <v>125</v>
      </c>
      <c r="C93" s="45">
        <v>212000</v>
      </c>
      <c r="D93" s="32">
        <v>4</v>
      </c>
      <c r="E93" s="33" t="s">
        <v>18</v>
      </c>
      <c r="F93" s="12">
        <v>82500</v>
      </c>
    </row>
    <row r="94" spans="1:10" ht="26.4" x14ac:dyDescent="0.65">
      <c r="A94" s="44">
        <v>213000</v>
      </c>
      <c r="B94" s="9" t="s">
        <v>72</v>
      </c>
      <c r="C94" s="44">
        <v>210000</v>
      </c>
      <c r="D94" s="30">
        <v>3</v>
      </c>
      <c r="E94" s="31" t="s">
        <v>16</v>
      </c>
      <c r="F94" s="10">
        <f>+F95+F96+F97+F98+F101</f>
        <v>2247260</v>
      </c>
      <c r="H94" s="3"/>
      <c r="J94" s="3"/>
    </row>
    <row r="95" spans="1:10" ht="26.4" x14ac:dyDescent="0.65">
      <c r="A95" s="45">
        <v>213100</v>
      </c>
      <c r="B95" s="11" t="s">
        <v>73</v>
      </c>
      <c r="C95" s="45">
        <v>213000</v>
      </c>
      <c r="D95" s="32">
        <v>4</v>
      </c>
      <c r="E95" s="33" t="s">
        <v>18</v>
      </c>
      <c r="F95" s="12">
        <v>700000</v>
      </c>
    </row>
    <row r="96" spans="1:10" ht="26.4" x14ac:dyDescent="0.65">
      <c r="A96" s="45">
        <v>213200</v>
      </c>
      <c r="B96" s="11" t="s">
        <v>74</v>
      </c>
      <c r="C96" s="45">
        <v>213000</v>
      </c>
      <c r="D96" s="32">
        <v>4</v>
      </c>
      <c r="E96" s="33" t="s">
        <v>18</v>
      </c>
      <c r="F96" s="12">
        <v>144000</v>
      </c>
    </row>
    <row r="97" spans="1:10" ht="26.4" x14ac:dyDescent="0.65">
      <c r="A97" s="45">
        <v>213300</v>
      </c>
      <c r="B97" s="11" t="s">
        <v>75</v>
      </c>
      <c r="C97" s="45">
        <v>213000</v>
      </c>
      <c r="D97" s="32">
        <v>4</v>
      </c>
      <c r="E97" s="33" t="s">
        <v>18</v>
      </c>
      <c r="F97" s="12">
        <v>60000</v>
      </c>
    </row>
    <row r="98" spans="1:10" ht="26.4" x14ac:dyDescent="0.65">
      <c r="A98" s="45">
        <v>213400</v>
      </c>
      <c r="B98" s="11" t="s">
        <v>76</v>
      </c>
      <c r="C98" s="45">
        <v>213000</v>
      </c>
      <c r="D98" s="32">
        <v>4</v>
      </c>
      <c r="E98" s="33" t="s">
        <v>16</v>
      </c>
      <c r="F98" s="12">
        <f>+F99+F100</f>
        <v>1313260</v>
      </c>
    </row>
    <row r="99" spans="1:10" x14ac:dyDescent="0.65">
      <c r="A99" s="46">
        <v>213401</v>
      </c>
      <c r="B99" s="13" t="s">
        <v>76</v>
      </c>
      <c r="C99" s="46">
        <v>213400</v>
      </c>
      <c r="D99" s="34">
        <v>5</v>
      </c>
      <c r="E99" s="35" t="s">
        <v>18</v>
      </c>
      <c r="F99" s="14">
        <v>825000</v>
      </c>
      <c r="G99" s="55"/>
    </row>
    <row r="100" spans="1:10" x14ac:dyDescent="0.65">
      <c r="A100" s="46">
        <v>213402</v>
      </c>
      <c r="B100" s="13" t="s">
        <v>126</v>
      </c>
      <c r="C100" s="46">
        <v>213400</v>
      </c>
      <c r="D100" s="34">
        <v>5</v>
      </c>
      <c r="E100" s="35" t="s">
        <v>18</v>
      </c>
      <c r="F100" s="14">
        <v>488260</v>
      </c>
    </row>
    <row r="101" spans="1:10" ht="26.4" x14ac:dyDescent="0.65">
      <c r="A101" s="45">
        <v>213500</v>
      </c>
      <c r="B101" s="11" t="s">
        <v>77</v>
      </c>
      <c r="C101" s="45">
        <v>213000</v>
      </c>
      <c r="D101" s="32">
        <v>4</v>
      </c>
      <c r="E101" s="33" t="s">
        <v>18</v>
      </c>
      <c r="F101" s="12">
        <v>30000</v>
      </c>
    </row>
    <row r="102" spans="1:10" ht="24.6" customHeight="1" x14ac:dyDescent="0.65">
      <c r="A102" s="48">
        <v>220000</v>
      </c>
      <c r="B102" s="49" t="s">
        <v>78</v>
      </c>
      <c r="C102" s="48">
        <v>200000</v>
      </c>
      <c r="D102" s="50">
        <v>2</v>
      </c>
      <c r="E102" s="51" t="s">
        <v>16</v>
      </c>
      <c r="F102" s="52">
        <f>+F103+F106+F107+F111</f>
        <v>1956300</v>
      </c>
      <c r="H102" s="3"/>
      <c r="J102" s="3"/>
    </row>
    <row r="103" spans="1:10" ht="26.4" x14ac:dyDescent="0.65">
      <c r="A103" s="44">
        <v>221000</v>
      </c>
      <c r="B103" s="9" t="s">
        <v>79</v>
      </c>
      <c r="C103" s="44">
        <v>220000</v>
      </c>
      <c r="D103" s="30">
        <v>3</v>
      </c>
      <c r="E103" s="31" t="s">
        <v>16</v>
      </c>
      <c r="F103" s="21">
        <f>+F104+F105</f>
        <v>1086000</v>
      </c>
      <c r="H103" s="3"/>
      <c r="J103" s="3"/>
    </row>
    <row r="104" spans="1:10" x14ac:dyDescent="0.65">
      <c r="A104" s="45">
        <v>221100</v>
      </c>
      <c r="B104" s="11" t="s">
        <v>60</v>
      </c>
      <c r="C104" s="45">
        <v>221000</v>
      </c>
      <c r="D104" s="32">
        <v>4</v>
      </c>
      <c r="E104" s="33" t="s">
        <v>18</v>
      </c>
      <c r="F104" s="24">
        <v>1080000</v>
      </c>
    </row>
    <row r="105" spans="1:10" x14ac:dyDescent="0.65">
      <c r="A105" s="45">
        <v>221200</v>
      </c>
      <c r="B105" s="11" t="s">
        <v>57</v>
      </c>
      <c r="C105" s="45">
        <v>221000</v>
      </c>
      <c r="D105" s="32">
        <v>4</v>
      </c>
      <c r="E105" s="33" t="s">
        <v>18</v>
      </c>
      <c r="F105" s="24">
        <v>6000</v>
      </c>
    </row>
    <row r="106" spans="1:10" ht="26.4" x14ac:dyDescent="0.65">
      <c r="A106" s="44">
        <v>222000</v>
      </c>
      <c r="B106" s="9" t="s">
        <v>80</v>
      </c>
      <c r="C106" s="44">
        <v>220000</v>
      </c>
      <c r="D106" s="30">
        <v>3</v>
      </c>
      <c r="E106" s="31" t="s">
        <v>18</v>
      </c>
      <c r="F106" s="21">
        <v>21900</v>
      </c>
      <c r="H106" s="3"/>
      <c r="J106" s="3"/>
    </row>
    <row r="107" spans="1:10" ht="26.4" x14ac:dyDescent="0.65">
      <c r="A107" s="44">
        <v>223000</v>
      </c>
      <c r="B107" s="9" t="s">
        <v>81</v>
      </c>
      <c r="C107" s="44">
        <v>220000</v>
      </c>
      <c r="D107" s="30">
        <v>3</v>
      </c>
      <c r="E107" s="31" t="s">
        <v>16</v>
      </c>
      <c r="F107" s="21">
        <f>SUM(F108:F110)</f>
        <v>548400</v>
      </c>
      <c r="H107" s="3"/>
      <c r="J107" s="3"/>
    </row>
    <row r="108" spans="1:10" x14ac:dyDescent="0.65">
      <c r="A108" s="45">
        <v>223100</v>
      </c>
      <c r="B108" s="11" t="s">
        <v>127</v>
      </c>
      <c r="C108" s="45">
        <v>223000</v>
      </c>
      <c r="D108" s="32">
        <v>4</v>
      </c>
      <c r="E108" s="33" t="s">
        <v>18</v>
      </c>
      <c r="F108" s="24">
        <v>120000</v>
      </c>
    </row>
    <row r="109" spans="1:10" x14ac:dyDescent="0.65">
      <c r="A109" s="45"/>
      <c r="B109" s="11" t="s">
        <v>110</v>
      </c>
      <c r="C109" s="45">
        <v>223000</v>
      </c>
      <c r="D109" s="32">
        <v>4</v>
      </c>
      <c r="E109" s="33" t="s">
        <v>18</v>
      </c>
      <c r="F109" s="24">
        <v>92400</v>
      </c>
    </row>
    <row r="110" spans="1:10" x14ac:dyDescent="0.65">
      <c r="A110" s="45">
        <v>223200</v>
      </c>
      <c r="B110" s="11" t="s">
        <v>82</v>
      </c>
      <c r="C110" s="45">
        <v>223000</v>
      </c>
      <c r="D110" s="32">
        <v>4</v>
      </c>
      <c r="E110" s="33" t="s">
        <v>18</v>
      </c>
      <c r="F110" s="24">
        <v>336000</v>
      </c>
      <c r="G110" s="55"/>
    </row>
    <row r="111" spans="1:10" ht="26.4" x14ac:dyDescent="0.65">
      <c r="A111" s="44">
        <v>224000</v>
      </c>
      <c r="B111" s="9" t="s">
        <v>83</v>
      </c>
      <c r="C111" s="44">
        <v>220000</v>
      </c>
      <c r="D111" s="30">
        <v>3</v>
      </c>
      <c r="E111" s="31" t="s">
        <v>18</v>
      </c>
      <c r="F111" s="21">
        <v>300000</v>
      </c>
      <c r="H111" s="3"/>
      <c r="J111" s="3"/>
    </row>
    <row r="112" spans="1:10" ht="26.4" x14ac:dyDescent="0.65">
      <c r="A112" s="48">
        <v>230000</v>
      </c>
      <c r="B112" s="49" t="s">
        <v>84</v>
      </c>
      <c r="C112" s="48">
        <v>200000</v>
      </c>
      <c r="D112" s="50">
        <v>2</v>
      </c>
      <c r="E112" s="51" t="s">
        <v>16</v>
      </c>
      <c r="F112" s="53">
        <f>+F113+F114</f>
        <v>7066890</v>
      </c>
      <c r="H112" s="3"/>
      <c r="J112" s="3"/>
    </row>
    <row r="113" spans="1:10" ht="51.6" x14ac:dyDescent="0.65">
      <c r="A113" s="44">
        <v>231000</v>
      </c>
      <c r="B113" s="59" t="s">
        <v>128</v>
      </c>
      <c r="C113" s="44">
        <v>230000</v>
      </c>
      <c r="D113" s="30">
        <v>3</v>
      </c>
      <c r="E113" s="31" t="s">
        <v>18</v>
      </c>
      <c r="F113" s="21">
        <v>1066890</v>
      </c>
      <c r="H113" s="3"/>
      <c r="J113" s="3"/>
    </row>
    <row r="114" spans="1:10" ht="51.6" x14ac:dyDescent="0.65">
      <c r="A114" s="44">
        <v>232000</v>
      </c>
      <c r="B114" s="59" t="s">
        <v>129</v>
      </c>
      <c r="C114" s="44">
        <v>230000</v>
      </c>
      <c r="D114" s="30">
        <v>3</v>
      </c>
      <c r="E114" s="31" t="s">
        <v>18</v>
      </c>
      <c r="F114" s="21">
        <v>6000000</v>
      </c>
      <c r="H114" s="3"/>
      <c r="J114" s="3"/>
    </row>
    <row r="115" spans="1:10" ht="26.4" x14ac:dyDescent="0.65">
      <c r="A115" s="43">
        <v>300000</v>
      </c>
      <c r="B115" s="1" t="s">
        <v>85</v>
      </c>
      <c r="C115" s="43"/>
      <c r="D115" s="29">
        <v>1</v>
      </c>
      <c r="E115" s="38" t="s">
        <v>16</v>
      </c>
      <c r="F115" s="22">
        <f>+F116</f>
        <v>14118500</v>
      </c>
      <c r="H115" s="3"/>
      <c r="J115" s="3"/>
    </row>
    <row r="116" spans="1:10" ht="26.4" x14ac:dyDescent="0.65">
      <c r="A116" s="42">
        <v>310000</v>
      </c>
      <c r="B116" s="4" t="s">
        <v>86</v>
      </c>
      <c r="C116" s="42">
        <v>300000</v>
      </c>
      <c r="D116" s="27">
        <v>2</v>
      </c>
      <c r="E116" s="39" t="s">
        <v>16</v>
      </c>
      <c r="F116" s="23">
        <f>+F117+F118+F119+F120+F121+F122+F123+F124+F125</f>
        <v>14118500</v>
      </c>
      <c r="H116" s="3"/>
      <c r="J116" s="3"/>
    </row>
    <row r="117" spans="1:10" ht="77.400000000000006" x14ac:dyDescent="0.65">
      <c r="A117" s="44">
        <v>311000</v>
      </c>
      <c r="B117" s="59" t="s">
        <v>130</v>
      </c>
      <c r="C117" s="44">
        <v>310000</v>
      </c>
      <c r="D117" s="30">
        <v>3</v>
      </c>
      <c r="E117" s="31" t="s">
        <v>18</v>
      </c>
      <c r="F117" s="21">
        <v>1700000</v>
      </c>
      <c r="H117" s="3"/>
      <c r="J117" s="3"/>
    </row>
    <row r="118" spans="1:10" ht="26.4" x14ac:dyDescent="0.65">
      <c r="A118" s="44">
        <v>312000</v>
      </c>
      <c r="B118" s="9" t="s">
        <v>131</v>
      </c>
      <c r="C118" s="44">
        <v>310000</v>
      </c>
      <c r="D118" s="30">
        <v>3</v>
      </c>
      <c r="E118" s="31" t="s">
        <v>18</v>
      </c>
      <c r="F118" s="21">
        <v>35000</v>
      </c>
      <c r="H118" s="3"/>
      <c r="J118" s="3"/>
    </row>
    <row r="119" spans="1:10" ht="26.4" x14ac:dyDescent="0.65">
      <c r="A119" s="44">
        <v>313000</v>
      </c>
      <c r="B119" s="9" t="s">
        <v>108</v>
      </c>
      <c r="C119" s="44">
        <v>310000</v>
      </c>
      <c r="D119" s="30">
        <v>3</v>
      </c>
      <c r="E119" s="31" t="s">
        <v>18</v>
      </c>
      <c r="F119" s="21">
        <v>50400</v>
      </c>
      <c r="H119" s="3"/>
      <c r="J119" s="3"/>
    </row>
    <row r="120" spans="1:10" ht="26.4" x14ac:dyDescent="0.65">
      <c r="A120" s="44">
        <v>314000</v>
      </c>
      <c r="B120" s="9" t="s">
        <v>132</v>
      </c>
      <c r="C120" s="44">
        <v>310000</v>
      </c>
      <c r="D120" s="30">
        <v>3</v>
      </c>
      <c r="E120" s="31" t="s">
        <v>18</v>
      </c>
      <c r="F120" s="21">
        <v>3300000</v>
      </c>
      <c r="H120" s="3"/>
      <c r="J120" s="3"/>
    </row>
    <row r="121" spans="1:10" ht="26.4" x14ac:dyDescent="0.65">
      <c r="A121" s="44">
        <v>315000</v>
      </c>
      <c r="B121" s="9" t="s">
        <v>133</v>
      </c>
      <c r="C121" s="44">
        <v>310000</v>
      </c>
      <c r="D121" s="30">
        <v>3</v>
      </c>
      <c r="E121" s="31" t="s">
        <v>18</v>
      </c>
      <c r="F121" s="21">
        <v>3900000</v>
      </c>
      <c r="H121" s="3"/>
      <c r="J121" s="3"/>
    </row>
    <row r="122" spans="1:10" ht="26.4" x14ac:dyDescent="0.65">
      <c r="A122" s="44">
        <v>316000</v>
      </c>
      <c r="B122" s="9" t="s">
        <v>134</v>
      </c>
      <c r="C122" s="44">
        <v>310000</v>
      </c>
      <c r="D122" s="30">
        <v>3</v>
      </c>
      <c r="E122" s="31" t="s">
        <v>18</v>
      </c>
      <c r="F122" s="21">
        <v>4900000</v>
      </c>
      <c r="H122" s="3"/>
      <c r="J122" s="3"/>
    </row>
    <row r="123" spans="1:10" ht="26.4" x14ac:dyDescent="0.65">
      <c r="A123" s="44">
        <v>317000</v>
      </c>
      <c r="B123" s="9" t="s">
        <v>135</v>
      </c>
      <c r="C123" s="44">
        <v>310000</v>
      </c>
      <c r="D123" s="30">
        <v>3</v>
      </c>
      <c r="E123" s="31" t="s">
        <v>18</v>
      </c>
      <c r="F123" s="21">
        <v>36000</v>
      </c>
      <c r="H123" s="3"/>
      <c r="J123" s="3"/>
    </row>
    <row r="124" spans="1:10" ht="26.4" x14ac:dyDescent="0.65">
      <c r="A124" s="44">
        <v>318000</v>
      </c>
      <c r="B124" s="9" t="s">
        <v>136</v>
      </c>
      <c r="C124" s="44">
        <v>310000</v>
      </c>
      <c r="D124" s="30">
        <v>3</v>
      </c>
      <c r="E124" s="31" t="s">
        <v>18</v>
      </c>
      <c r="F124" s="21">
        <v>89100</v>
      </c>
      <c r="H124" s="3"/>
      <c r="J124" s="3"/>
    </row>
    <row r="125" spans="1:10" ht="26.4" x14ac:dyDescent="0.65">
      <c r="A125" s="44">
        <v>319000</v>
      </c>
      <c r="B125" s="9" t="s">
        <v>137</v>
      </c>
      <c r="C125" s="44">
        <v>310000</v>
      </c>
      <c r="D125" s="30">
        <v>3</v>
      </c>
      <c r="E125" s="31" t="s">
        <v>18</v>
      </c>
      <c r="F125" s="21">
        <v>108000</v>
      </c>
      <c r="H125" s="3"/>
      <c r="J125" s="3"/>
    </row>
    <row r="127" spans="1:10" x14ac:dyDescent="0.65">
      <c r="F127" s="61"/>
    </row>
    <row r="128" spans="1:10" x14ac:dyDescent="0.65">
      <c r="F128" s="62">
        <f>+F115+F4+F2</f>
        <v>129509731</v>
      </c>
    </row>
  </sheetData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Budget Setup 69แก้แล้ว</vt:lpstr>
      <vt:lpstr>Sheet2</vt:lpstr>
      <vt:lpstr>budget setup 68</vt:lpstr>
      <vt:lpstr>Sheet1</vt:lpstr>
      <vt:lpstr>Budget Setup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Duane Yates</dc:creator>
  <cp:lastModifiedBy>Jordan Hamilton</cp:lastModifiedBy>
  <dcterms:created xsi:type="dcterms:W3CDTF">2026-02-17T02:38:28Z</dcterms:created>
  <dcterms:modified xsi:type="dcterms:W3CDTF">2026-05-04T14:00:14Z</dcterms:modified>
</cp:coreProperties>
</file>